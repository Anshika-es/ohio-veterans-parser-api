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91eae0393c4579" /></Relationships>
</file>

<file path=xl/workbook.xml><?xml version="1.0" encoding="utf-8"?>
<x:workbook xmlns:x="http://schemas.openxmlformats.org/spreadsheetml/2006/main">
  <x:sheets>
    <x:sheet xmlns:r="http://schemas.openxmlformats.org/officeDocument/2006/relationships" name="Summary" sheetId="1" r:id="Rcae28fb6a7bd46be"/>
    <x:sheet xmlns:r="http://schemas.openxmlformats.org/officeDocument/2006/relationships" name="52 Test Cases" sheetId="2" r:id="R464f24909c824493"/>
    <x:sheet xmlns:r="http://schemas.openxmlformats.org/officeDocument/2006/relationships" name="Key Manual Regression" sheetId="3" r:id="R7186fe52ff2944d0"/>
    <x:sheet xmlns:r="http://schemas.openxmlformats.org/officeDocument/2006/relationships" name="How to Validate" sheetId="4" r:id="Rb9e1bc7d2545488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b/>
      <x:sz val="16"/>
      <x:color rgb="FFFFFFFF"/>
      <x:name val="Carlito"/>
    </x:font>
    <x:font>
      <x:b/>
      <x:sz val="11"/>
      <x:color rgb="FF17365D"/>
      <x:name val="Carlito"/>
    </x:font>
    <x:font>
      <x:sz val="11"/>
      <x:color rgb="FF000000"/>
      <x:name val="Carlito"/>
    </x:font>
  </x:fonts>
  <x:fills count="6">
    <x:fill>
      <x:patternFill patternType="none"/>
    </x:fill>
    <x:fill>
      <x:patternFill patternType="gray125"/>
    </x:fill>
    <x:fill>
      <x:patternFill patternType="solid">
        <x:fgColor rgb="FF1F4E78"/>
      </x:patternFill>
    </x:fill>
    <x:fill>
      <x:patternFill patternType="solid">
        <x:fgColor rgb="FF0F3D5E"/>
      </x:patternFill>
    </x:fill>
    <x:fill>
      <x:patternFill patternType="solid">
        <x:fgColor rgb="FFD9EAF7"/>
      </x:patternFill>
    </x:fill>
    <x:fill>
      <x:patternFill patternType="solid">
        <x:fgColor rgb="FFFFFFFF"/>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2" borderId="2" xfId="0" applyNumberFormat="1" applyFont="1" applyFill="1" applyBorder="1"/>
    <x:xf numFmtId="0" fontId="0" fillId="2" borderId="3" xfId="0" applyNumberFormat="1" applyFont="1" applyFill="1" applyBorder="1"/>
    <x:xf numFmtId="0" fontId="0" fillId="2" borderId="4"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0" fillId="2" borderId="10" xfId="0" applyNumberFormat="1" applyFont="1" applyFill="1" applyBorder="1"/>
    <x:xf numFmtId="0" fontId="0" fillId="2" borderId="11" xfId="0" applyNumberFormat="1" applyFont="1" applyFill="1" applyBorder="1"/>
    <x:xf numFmtId="0" fontId="0" fillId="2" borderId="12" xfId="0" applyNumberFormat="1" applyFont="1" applyFill="1" applyBorder="1"/>
    <x:xf numFmtId="0" fontId="1" fillId="2" borderId="10" xfId="0" applyNumberFormat="1" applyFont="1" applyFill="1" applyBorder="1"/>
    <x:xf numFmtId="0" fontId="1" fillId="2" borderId="11" xfId="0" applyNumberFormat="1" applyFont="1" applyFill="1" applyBorder="1"/>
    <x:xf numFmtId="0" fontId="1" fillId="2" borderId="12" xfId="0" applyNumberFormat="1" applyFont="1" applyFill="1" applyBorder="1"/>
    <x:xf numFmtId="0" fontId="1" fillId="2" borderId="10" xfId="0" applyNumberFormat="1" applyFont="1" applyFill="1" applyBorder="1" applyAlignment="1">
      <x:alignment wrapText="1"/>
    </x:xf>
    <x:xf numFmtId="0" fontId="1" fillId="2" borderId="11" xfId="0" applyNumberFormat="1" applyFont="1" applyFill="1" applyBorder="1" applyAlignment="1">
      <x:alignment wrapText="1"/>
    </x:xf>
    <x:xf numFmtId="0" fontId="1" fillId="2" borderId="12" xfId="0" applyNumberFormat="1" applyFont="1" applyFill="1" applyBorder="1" applyAlignment="1">
      <x:alignment wrapText="1"/>
    </x:xf>
    <x:xf numFmtId="0" fontId="1" fillId="2" borderId="10" xfId="0" applyNumberFormat="1" applyFont="1" applyFill="1" applyBorder="1" applyAlignment="1">
      <x:alignment horizontal="center" wrapText="1"/>
    </x:xf>
    <x:xf numFmtId="0" fontId="1" fillId="2" borderId="11" xfId="0" applyNumberFormat="1" applyFont="1" applyFill="1" applyBorder="1" applyAlignment="1">
      <x:alignment horizontal="center" wrapText="1"/>
    </x:xf>
    <x:xf numFmtId="0" fontId="1" fillId="2" borderId="12" xfId="0" applyNumberFormat="1" applyFont="1" applyFill="1" applyBorder="1" applyAlignment="1">
      <x:alignment horizont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9" xfId="0" applyNumberFormat="1" applyFont="1" applyFill="1" applyBorder="1"/>
    <x:xf numFmtId="200" fontId="0" fillId="0" borderId="17" xfId="0" applyNumberFormat="1" applyFont="1" applyFill="1" applyBorder="1"/>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1" fillId="2" borderId="14"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1" fillId="5" borderId="5" xfId="0" applyNumberFormat="1" applyFont="1" applyFill="1" applyBorder="1" applyAlignment="1">
      <x:alignment horizontal="center" vertical="center" wrapText="1"/>
    </x:xf>
    <x:xf numFmtId="0" fontId="1" fillId="5" borderId="6"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0" xfId="0" applyNumberFormat="1" applyFont="1" applyFill="1" applyBorder="1"/>
    <x:xf numFmtId="0" fontId="0" fillId="5" borderId="7" xfId="0" applyNumberFormat="1" applyFont="1" applyFill="1" applyBorder="1"/>
    <x:xf numFmtId="0" fontId="0" fillId="5" borderId="9" xfId="0" applyNumberFormat="1" applyFont="1" applyFill="1" applyBorder="1"/>
    <x:xf numFmtId="0" fontId="4" fillId="5" borderId="0"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0" xfId="0" applyNumberFormat="1" applyFont="1" applyFill="1" applyBorder="1"/>
    <x:xf numFmtId="0" fontId="4" fillId="5" borderId="7" xfId="0" applyNumberFormat="1" applyFont="1" applyFill="1" applyBorder="1"/>
    <x:xf numFmtId="0" fontId="4" fillId="5" borderId="9" xfId="0" applyNumberFormat="1" applyFont="1" applyFill="1" applyBorder="1"/>
    <x:xf numFmtId="0" fontId="4" fillId="5" borderId="0" xfId="0" applyNumberFormat="1" applyFont="1" applyFill="1" applyBorder="1" applyAlignment="1">
      <x:alignment horizontal="center" vertical="center" wrapText="0"/>
    </x:xf>
    <x:xf numFmtId="0" fontId="4" fillId="5" borderId="5" xfId="0" applyNumberFormat="1" applyFont="1" applyFill="1" applyBorder="1" applyAlignment="1">
      <x:alignment horizontal="center" vertical="center" wrapText="0"/>
    </x:xf>
    <x:xf numFmtId="0" fontId="4" fillId="5" borderId="6" xfId="0" applyNumberFormat="1" applyFont="1" applyFill="1" applyBorder="1" applyAlignment="1">
      <x:alignment horizontal="center" vertical="center" wrapText="0"/>
    </x:xf>
    <x:xf numFmtId="0" fontId="4" fillId="5" borderId="0" xfId="0" applyNumberFormat="1" applyFont="1" applyFill="1" applyBorder="1" applyAlignment="1">
      <x:alignment wrapText="0"/>
    </x:xf>
    <x:xf numFmtId="0" fontId="4" fillId="5" borderId="5" xfId="0" applyNumberFormat="1" applyFont="1" applyFill="1" applyBorder="1" applyAlignment="1">
      <x:alignment wrapText="0"/>
    </x:xf>
    <x:xf numFmtId="0" fontId="4" fillId="5" borderId="6" xfId="0" applyNumberFormat="1" applyFont="1" applyFill="1" applyBorder="1" applyAlignment="1">
      <x:alignment wrapText="0"/>
    </x:xf>
    <x:xf numFmtId="0" fontId="4" fillId="5" borderId="7" xfId="0" applyNumberFormat="1" applyFont="1" applyFill="1" applyBorder="1" applyAlignment="1">
      <x:alignment wrapText="0"/>
    </x:xf>
    <x:xf numFmtId="0" fontId="4" fillId="5" borderId="9" xfId="0" applyNumberFormat="1" applyFont="1" applyFill="1" applyBorder="1" applyAlignment="1">
      <x:alignment wrapText="0"/>
    </x:xf>
    <x:xf numFmtId="0" fontId="4" fillId="5" borderId="0" xfId="0" applyNumberFormat="1" applyFont="1" applyFill="1" applyBorder="1" applyAlignment="1">
      <x:alignment vertical="center" wrapText="0"/>
    </x:xf>
    <x:xf numFmtId="0" fontId="4" fillId="5" borderId="5" xfId="0" applyNumberFormat="1" applyFont="1" applyFill="1" applyBorder="1" applyAlignment="1">
      <x:alignment vertical="center" wrapText="0"/>
    </x:xf>
    <x:xf numFmtId="0" fontId="4" fillId="5" borderId="6" xfId="0" applyNumberFormat="1" applyFont="1" applyFill="1" applyBorder="1" applyAlignment="1">
      <x:alignment vertical="center" wrapText="0"/>
    </x:xf>
    <x:xf numFmtId="0" fontId="4" fillId="5" borderId="7" xfId="0" applyNumberFormat="1" applyFont="1" applyFill="1" applyBorder="1" applyAlignment="1">
      <x:alignment vertical="center" wrapText="0"/>
    </x:xf>
    <x:xf numFmtId="0" fontId="4" fillId="5" borderId="9" xfId="0" applyNumberFormat="1" applyFont="1" applyFill="1" applyBorder="1" applyAlignment="1">
      <x:alignment vertical="center" wrapText="0"/>
    </x:xf>
    <x:xf numFmtId="0" fontId="1" fillId="5" borderId="1" xfId="0" applyNumberFormat="1" applyFont="1" applyFill="1" applyBorder="1" applyAlignment="1">
      <x:alignment horizontal="center" vertical="center" wrapText="1"/>
    </x:xf>
    <x:xf numFmtId="0" fontId="1" fillId="5" borderId="13" xfId="0" applyNumberFormat="1" applyFont="1" applyFill="1" applyBorder="1" applyAlignment="1">
      <x:alignment horizontal="center" vertical="center" wrapText="1"/>
    </x:xf>
    <x:xf numFmtId="0" fontId="1" fillId="5" borderId="14" xfId="0" applyNumberFormat="1" applyFont="1" applyFill="1" applyBorder="1" applyAlignment="1">
      <x:alignment horizontal="center" vertical="center" wrapText="1"/>
    </x:xf>
    <x:xf numFmtId="0" fontId="0" fillId="5" borderId="1"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 xfId="0" applyNumberFormat="1" applyFont="1" applyFill="1" applyBorder="1"/>
    <x:xf numFmtId="0" fontId="0" fillId="5" borderId="15" xfId="0" applyNumberFormat="1" applyFont="1" applyFill="1" applyBorder="1"/>
    <x:xf numFmtId="0" fontId="0" fillId="5" borderId="17" xfId="0" applyNumberFormat="1" applyFont="1" applyFill="1" applyBorder="1"/>
    <x:xf numFmtId="0" fontId="4" fillId="5" borderId="1" xfId="0" applyNumberFormat="1" applyFont="1" applyFill="1" applyBorder="1" applyAlignment="1">
      <x:alignment horizontal="center" vertical="center" wrapText="1"/>
    </x:xf>
    <x:xf numFmtId="0" fontId="4" fillId="5" borderId="13" xfId="0" applyNumberFormat="1" applyFont="1" applyFill="1" applyBorder="1" applyAlignment="1">
      <x:alignment horizontal="center" vertical="center" wrapText="1"/>
    </x:xf>
    <x:xf numFmtId="0" fontId="4" fillId="5" borderId="14" xfId="0" applyNumberFormat="1" applyFont="1" applyFill="1" applyBorder="1" applyAlignment="1">
      <x:alignment horizontal="center" vertical="center" wrapText="1"/>
    </x:xf>
    <x:xf numFmtId="0" fontId="4" fillId="5" borderId="1"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 xfId="0" applyNumberFormat="1" applyFont="1" applyFill="1" applyBorder="1"/>
    <x:xf numFmtId="0" fontId="4" fillId="5" borderId="15" xfId="0" applyNumberFormat="1" applyFont="1" applyFill="1" applyBorder="1"/>
    <x:xf numFmtId="0" fontId="4" fillId="5" borderId="17" xfId="0" applyNumberFormat="1" applyFont="1" applyFill="1" applyBorder="1"/>
    <x:xf numFmtId="0" fontId="4" fillId="5" borderId="1" xfId="0" applyNumberFormat="1" applyFont="1" applyFill="1" applyBorder="1" applyAlignment="1">
      <x:alignment horizontal="center" vertical="center" wrapText="0"/>
    </x:xf>
    <x:xf numFmtId="0" fontId="4" fillId="5" borderId="13" xfId="0" applyNumberFormat="1" applyFont="1" applyFill="1" applyBorder="1" applyAlignment="1">
      <x:alignment horizontal="center" vertical="center" wrapText="0"/>
    </x:xf>
    <x:xf numFmtId="0" fontId="4" fillId="5" borderId="14" xfId="0" applyNumberFormat="1" applyFont="1" applyFill="1" applyBorder="1" applyAlignment="1">
      <x:alignment horizontal="center" vertical="center" wrapText="0"/>
    </x:xf>
    <x:xf numFmtId="0" fontId="4" fillId="5" borderId="1" xfId="0" applyNumberFormat="1" applyFont="1" applyFill="1" applyBorder="1" applyAlignment="1">
      <x:alignment wrapText="0"/>
    </x:xf>
    <x:xf numFmtId="0" fontId="4" fillId="5" borderId="13" xfId="0" applyNumberFormat="1" applyFont="1" applyFill="1" applyBorder="1" applyAlignment="1">
      <x:alignment wrapText="0"/>
    </x:xf>
    <x:xf numFmtId="0" fontId="4" fillId="5" borderId="14" xfId="0" applyNumberFormat="1" applyFont="1" applyFill="1" applyBorder="1" applyAlignment="1">
      <x:alignment wrapText="0"/>
    </x:xf>
    <x:xf numFmtId="0" fontId="4" fillId="5" borderId="15" xfId="0" applyNumberFormat="1" applyFont="1" applyFill="1" applyBorder="1" applyAlignment="1">
      <x:alignment wrapText="0"/>
    </x:xf>
    <x:xf numFmtId="0" fontId="4" fillId="5" borderId="17" xfId="0" applyNumberFormat="1" applyFont="1" applyFill="1" applyBorder="1" applyAlignment="1">
      <x:alignment wrapText="0"/>
    </x:xf>
    <x:xf numFmtId="0" fontId="4" fillId="5" borderId="1" xfId="0" applyNumberFormat="1" applyFont="1" applyFill="1" applyBorder="1" applyAlignment="1">
      <x:alignment vertical="center" wrapText="0"/>
    </x:xf>
    <x:xf numFmtId="0" fontId="4" fillId="5" borderId="13" xfId="0" applyNumberFormat="1" applyFont="1" applyFill="1" applyBorder="1" applyAlignment="1">
      <x:alignment vertical="center" wrapText="0"/>
    </x:xf>
    <x:xf numFmtId="0" fontId="4" fillId="5" borderId="14" xfId="0" applyNumberFormat="1" applyFont="1" applyFill="1" applyBorder="1" applyAlignment="1">
      <x:alignment vertical="center" wrapText="0"/>
    </x:xf>
    <x:xf numFmtId="0" fontId="4" fillId="5" borderId="15" xfId="0" applyNumberFormat="1" applyFont="1" applyFill="1" applyBorder="1" applyAlignment="1">
      <x:alignment vertical="center" wrapText="0"/>
    </x:xf>
    <x:xf numFmtId="0" fontId="4" fillId="5" borderId="17" xfId="0" applyNumberFormat="1" applyFont="1" applyFill="1" applyBorder="1" applyAlignment="1">
      <x:alignment vertical="center" wrapText="0"/>
    </x:xf>
  </x:cellXfs>
  <x:cellStyles count="1">
    <x:cellStyle name="Normal" xfId="0"/>
  </x:cellStyles>
  <x:dxfs count="9">
    <x:dxf>
      <x:font>
        <x:b/>
        <x:color rgb="FF2F5597"/>
      </x:font>
      <x:fill>
        <x:patternFill patternType="solid">
          <x:bgColor rgb="FFE2F0D9"/>
        </x:patternFill>
      </x:fill>
    </x:dxf>
    <x:dxf>
      <x:font>
        <x:b/>
        <x:color rgb="FFC00000"/>
      </x:font>
      <x:fill>
        <x:patternFill patternType="solid">
          <x:bgColor rgb="FFFCE4D6"/>
        </x:patternFill>
      </x:fill>
    </x:dxf>
    <x:dxf>
      <x:font>
        <x:b/>
        <x:color rgb="FF7F6000"/>
      </x:font>
      <x:fill>
        <x:patternFill patternType="solid">
          <x:bgColor rgb="FFFFF2CC"/>
        </x:patternFill>
      </x:fill>
    </x:dxf>
    <x:dxf>
      <x:font>
        <x:color rgb="FF666666"/>
      </x:font>
      <x:fill>
        <x:patternFill patternType="solid">
          <x:bgColor rgb="FFF2F2F2"/>
        </x:patternFill>
      </x:fill>
    </x:dxf>
    <x:dxf>
      <x:font>
        <x:b/>
        <x:color rgb="FF7F6000"/>
      </x:font>
      <x:fill>
        <x:patternFill patternType="solid">
          <x:bgColor rgb="FFFFF2CC"/>
        </x:patternFill>
      </x:fill>
    </x:dxf>
    <x:dxf>
      <x:font>
        <x:i/>
      </x:font>
      <x:fill>
        <x:patternFill patternType="solid">
          <x:bgColor rgb="FFEDEDED"/>
        </x:patternFill>
      </x:fill>
    </x:dxf>
    <x:dxf>
      <x:font>
        <x:b/>
        <x:color rgb="FF7F6000"/>
      </x:font>
      <x:fill>
        <x:patternFill patternType="solid">
          <x:bgColor rgb="FFFFF2CC"/>
        </x:patternFill>
      </x:fill>
    </x:dxf>
    <x:dxf>
      <x:font>
        <x:b/>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9f6161a8b94dab" /><Relationship Type="http://schemas.openxmlformats.org/officeDocument/2006/relationships/theme" Target="/xl/theme/theme1.xml" Id="R3d5f200f1a644ebb" /><Relationship Type="http://schemas.openxmlformats.org/officeDocument/2006/relationships/sharedStrings" Target="/xl/sharedStrings.xml" Id="R567b51f735214941" /><Relationship Type="http://schemas.openxmlformats.org/officeDocument/2006/relationships/worksheet" Target="/xl/worksheets/sheet1.xml" Id="Rcae28fb6a7bd46be" /><Relationship Type="http://schemas.openxmlformats.org/officeDocument/2006/relationships/worksheet" Target="/xl/worksheets/sheet2.xml" Id="R464f24909c824493" /><Relationship Type="http://schemas.openxmlformats.org/officeDocument/2006/relationships/worksheet" Target="/xl/worksheets/sheet3.xml" Id="R7186fe52ff2944d0" /><Relationship Type="http://schemas.openxmlformats.org/officeDocument/2006/relationships/worksheet" Target="/xl/worksheets/sheet4.xml" Id="Rb9e1bc7d2545488e" /></Relationships>
</file>

<file path=xl/tables/table1.xml><?xml version="1.0" encoding="utf-8"?>
<x:table xmlns:x="http://schemas.openxmlformats.org/spreadsheetml/2006/main" id="1" name="OVH52TestCases" displayName="OVH52TestCases" ref="A1:Q53" headerRowCount="1" totalsRowCount="0" totalsRowShown="0">
  <x:tableColumns count="17">
    <x:tableColumn id="1" name="Test ID"/>
    <x:tableColumn id="2" name="Suite"/>
    <x:tableColumn id="3" name="Pytest Test Name"/>
    <x:tableColumn id="4" name="Category"/>
    <x:tableColumn id="5" name="Validation Class"/>
    <x:tableColumn id="6" name="Subject (test exact)"/>
    <x:tableColumn id="7" name="Sample Input — copy/paste"/>
    <x:tableColumn id="8" name="Default Year"/>
    <x:tableColumn id="9" name="Expected Status"/>
    <x:tableColumn id="10" name="Expected Shift Count"/>
    <x:tableColumn id="11" name="Expected Shifts / Parsed Rows"/>
    <x:tableColumn id="12" name="Expected Issues"/>
    <x:tableColumn id="13" name="Key Manual Check"/>
    <x:tableColumn id="14" name="Manual Result"/>
    <x:tableColumn id="15" name="Actual Status"/>
    <x:tableColumn id="16" name="Actual Shift Count"/>
    <x:tableColumn id="17" name="Actual Issues / Notes"/>
  </x:tableColumns>
  <x:tableStyleInfo name="TableStyleMedium2" showFirstColumn="0" showLastColumn="0" showRowStripes="1" showColumnStripes="0"/>
</x:table>
</file>

<file path=xl/tables/table2.xml><?xml version="1.0" encoding="utf-8"?>
<x:table xmlns:x="http://schemas.openxmlformats.org/spreadsheetml/2006/main" id="2" name="KeyManualRegression" displayName="KeyManualRegression" ref="A1:I6" headerRowCount="1" totalsRowCount="0" totalsRowShown="0">
  <x:tableColumns count="9">
    <x:tableColumn id="1" name="Scenario ID"/>
    <x:tableColumn id="2" name="Scenario Name"/>
    <x:tableColumn id="3" name="Category"/>
    <x:tableColumn id="4" name="Sample Input — copy/paste"/>
    <x:tableColumn id="5" name="Expected Status"/>
    <x:tableColumn id="6" name="Expected Shift Count"/>
    <x:tableColumn id="7" name="Key Checks"/>
    <x:tableColumn id="8" name="Manual Result"/>
    <x:tableColumn id="9" name="Actual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48fd07690d4c3c" /></Relationships>
</file>

<file path=xl/worksheets/_rels/sheet3.xml.rels>&#65279;<?xml version="1.0" encoding="utf-8"?><Relationships xmlns="http://schemas.openxmlformats.org/package/2006/relationships"><Relationship Type="http://schemas.openxmlformats.org/officeDocument/2006/relationships/table" Target="/xl/tables/table2.xml" Id="Rbe5e0252aa184b20" /></Relationships>
</file>

<file path=xl/worksheets/sheet1.xml><?xml version="1.0" encoding="utf-8"?>
<x:worksheet xmlns:x="http://schemas.openxmlformats.org/spreadsheetml/2006/main">
  <x:sheetFormatPr defaultRowHeight="15"/>
  <x:cols>
    <x:col min="1" max="1" width="26" hidden="0" customWidth="1"/>
    <x:col min="2" max="2" width="18" hidden="0" customWidth="1"/>
    <x:col min="3" max="3" width="4" hidden="0" customWidth="1"/>
    <x:col min="4" max="4" width="34" hidden="0" customWidth="1"/>
    <x:col min="5" max="5" width="14" hidden="0" customWidth="1"/>
    <x:col min="6" max="6" width="4" hidden="0" customWidth="1"/>
  </x:cols>
  <x:sheetData>
    <x:row r="1" ht="32" customHeight="1">
      <x:c r="A1" s="86" t="str">
        <x:v>Ohio Veterans Email Parser — 52 Test Case Manual Tracker</x:v>
      </x:c>
      <x:c r="B1" s="86" t="str">
        <x:v>Ohio Veterans Email Parser — 52 Test Case Manual Tracker</x:v>
      </x:c>
      <x:c r="C1" s="86" t="str">
        <x:v>Ohio Veterans Email Parser — 52 Test Case Manual Tracker</x:v>
      </x:c>
      <x:c r="D1" s="86" t="str">
        <x:v>Ohio Veterans Email Parser — 52 Test Case Manual Tracker</x:v>
      </x:c>
      <x:c r="E1" s="86" t="str">
        <x:v>Ohio Veterans Email Parser — 52 Test Case Manual Tracker</x:v>
      </x:c>
      <x:c r="F1" s="86" t="str">
        <x:v>Ohio Veterans Email Parser — 52 Test Case Manual Tracker</x:v>
      </x:c>
    </x:row>
    <x:row r="3">
      <x:c r="A3" s="12" t="str">
        <x:v>Automated Test Coverage</x:v>
      </x:c>
      <x:c r="B3" s="14" t="str">
        <x:v>Value</x:v>
      </x:c>
      <x:c r="D3" s="12" t="str">
        <x:v>Coverage Category</x:v>
      </x:c>
      <x:c r="E3" s="14" t="str">
        <x:v>Test Count</x:v>
      </x:c>
    </x:row>
    <x:row r="4">
      <x:c r="A4" s="15" t="str">
        <x:v>Total automated tests</x:v>
      </x:c>
      <x:c r="B4" s="17" t="n">
        <x:f>COUNTA('52 Test Cases'!A2:A53)</x:f>
        <x:v>52</x:v>
      </x:c>
      <x:c r="D4" s="15" t="str">
        <x:v>Backend JSON contract</x:v>
      </x:c>
      <x:c r="E4" s="17" t="n">
        <x:f>COUNTIF('52 Test Cases'!D2:D53,D4)</x:f>
        <x:v>1</x:v>
      </x:c>
    </x:row>
    <x:row r="5">
      <x:c r="A5" s="15" t="str">
        <x:v>Expected PARSED</x:v>
      </x:c>
      <x:c r="B5" s="17" t="n">
        <x:f>COUNTIF('52 Test Cases'!I2:I53,"PARSED")</x:f>
        <x:v>49</x:v>
      </x:c>
      <x:c r="D5" s="15" t="str">
        <x:v>Bullets / list format</x:v>
      </x:c>
      <x:c r="E5" s="17" t="n">
        <x:f>COUNTIF('52 Test Cases'!D2:D53,D5)</x:f>
        <x:v>2</x:v>
      </x:c>
    </x:row>
    <x:row r="6">
      <x:c r="A6" s="15" t="str">
        <x:v>Expected NEEDS_REVIEW</x:v>
      </x:c>
      <x:c r="B6" s="17" t="n">
        <x:f>COUNTIF('52 Test Cases'!I2:I53,"NEEDS_REVIEW")</x:f>
        <x:v>3</x:v>
      </x:c>
      <x:c r="D6" s="15" t="str">
        <x:v>Core OVH format</x:v>
      </x:c>
      <x:c r="E6" s="17" t="n">
        <x:f>COUNTIF('52 Test Cases'!D2:D53,D6)</x:f>
        <x:v>1</x:v>
      </x:c>
    </x:row>
    <x:row r="7">
      <x:c r="A7" s="15" t="str">
        <x:v>MUST REVIEW cases</x:v>
      </x:c>
      <x:c r="B7" s="17" t="n">
        <x:f>COUNTIF('52 Test Cases'!E2:E53,"MUST REVIEW")</x:f>
        <x:v>3</x:v>
      </x:c>
      <x:c r="D7" s="15" t="str">
        <x:v>Date carry-forward / multi-date</x:v>
      </x:c>
      <x:c r="E7" s="17" t="n">
        <x:f>COUNTIF('52 Test Cases'!D2:D53,D7)</x:f>
        <x:v>2</x:v>
      </x:c>
    </x:row>
    <x:row r="8">
      <x:c r="A8" s="15" t="str">
        <x:v>Out-of-scope guard tests</x:v>
      </x:c>
      <x:c r="B8" s="17" t="n">
        <x:f>COUNTIF('52 Test Cases'!E2:E53,"OUT OF SCOPE GUARD")</x:f>
        <x:v>1</x:v>
      </x:c>
      <x:c r="D8" s="15" t="str">
        <x:v>Date parsing</x:v>
      </x:c>
      <x:c r="E8" s="17" t="n">
        <x:f>COUNTIF('52 Test Cases'!D2:D53,D8)</x:f>
        <x:v>7</x:v>
      </x:c>
    </x:row>
    <x:row r="9">
      <x:c r="A9" s="15" t="str">
        <x:v>Manual tests completed</x:v>
      </x:c>
      <x:c r="B9" s="17" t="n">
        <x:f>COUNTIF('52 Test Cases'!N2:N53,"Pass")+COUNTIF('52 Test Cases'!N2:N53,"Fail")+COUNTIF('52 Test Cases'!N2:N53,"Blocked")</x:f>
        <x:v>0</x:v>
      </x:c>
      <x:c r="D9" s="15" t="str">
        <x:v>Large block / stress</x:v>
      </x:c>
      <x:c r="E9" s="17" t="n">
        <x:f>COUNTIF('52 Test Cases'!D2:D53,D9)</x:f>
        <x:v>1</x:v>
      </x:c>
    </x:row>
    <x:row r="10">
      <x:c r="A10" s="15" t="str">
        <x:v>Manual Pass</x:v>
      </x:c>
      <x:c r="B10" s="17" t="n">
        <x:f>COUNTIF('52 Test Cases'!N2:N53,"Pass")</x:f>
        <x:v>0</x:v>
      </x:c>
      <x:c r="D10" s="15" t="str">
        <x:v>Multiline / labeled fields</x:v>
      </x:c>
      <x:c r="E10" s="17" t="n">
        <x:f>COUNTIF('52 Test Cases'!D2:D53,D10)</x:f>
        <x:v>4</x:v>
      </x:c>
    </x:row>
    <x:row r="11">
      <x:c r="A11" s="15" t="str">
        <x:v>Manual Fail</x:v>
      </x:c>
      <x:c r="B11" s="17" t="n">
        <x:f>COUNTIF('52 Test Cases'!N2:N53,"Fail")</x:f>
        <x:v>0</x:v>
      </x:c>
      <x:c r="D11" s="15" t="str">
        <x:v>Multiple shifts same line</x:v>
      </x:c>
      <x:c r="E11" s="17" t="n">
        <x:f>COUNTIF('52 Test Cases'!D2:D53,D11)</x:f>
        <x:v>1</x:v>
      </x:c>
    </x:row>
    <x:row r="12">
      <x:c r="A12" s="15" t="str">
        <x:v>Manual Blocked</x:v>
      </x:c>
      <x:c r="B12" s="17" t="n">
        <x:f>COUNTIF('52 Test Cases'!N2:N53,"Blocked")</x:f>
        <x:v>0</x:v>
      </x:c>
      <x:c r="D12" s="15" t="str">
        <x:v>NEEDS_REVIEW / incomplete</x:v>
      </x:c>
      <x:c r="E12" s="17" t="n">
        <x:f>COUNTIF('52 Test Cases'!D2:D53,D12)</x:f>
        <x:v>3</x:v>
      </x:c>
    </x:row>
    <x:row r="13">
      <x:c r="A13" s="18" t="str">
        <x:v>Manual completion %</x:v>
      </x:c>
      <x:c r="B13" s="103" t="n">
        <x:f>B9/B4</x:f>
        <x:v>0</x:v>
      </x:c>
      <x:c r="D13" s="15" t="str">
        <x:v>Natural language</x:v>
      </x:c>
      <x:c r="E13" s="17" t="n">
        <x:f>COUNTIF('52 Test Cases'!D2:D53,D13)</x:f>
        <x:v>5</x:v>
      </x:c>
    </x:row>
    <x:row r="14">
      <x:c r="D14" s="15" t="str">
        <x:v>Normalized / Mixed format</x:v>
      </x:c>
      <x:c r="E14" s="17" t="n">
        <x:f>COUNTIF('52 Test Cases'!D2:D53,D14)</x:f>
        <x:v>3</x:v>
      </x:c>
    </x:row>
    <x:row r="15">
      <x:c r="A15" s="127"/>
      <x:c r="B15" s="127"/>
      <x:c r="C15" s="127"/>
      <x:c r="D15" s="128" t="str">
        <x:v>Overnight shift</x:v>
      </x:c>
      <x:c r="E15" s="129" t="n">
        <x:f>COUNTIF('52 Test Cases'!D2:D53,D15)</x:f>
        <x:v>1</x:v>
      </x:c>
      <x:c r="F15" s="127"/>
    </x:row>
    <x:row r="16" ht="34" customHeight="1">
      <x:c r="A16" s="135"/>
      <x:c r="B16" s="135"/>
      <x:c r="C16" s="135"/>
      <x:c r="D16" s="136" t="str">
        <x:v>Paragraph / noise handling</x:v>
      </x:c>
      <x:c r="E16" s="137" t="n">
        <x:f>COUNTIF('52 Test Cases'!D2:D53,D16)</x:f>
        <x:v>6</x:v>
      </x:c>
      <x:c r="F16" s="135"/>
    </x:row>
    <x:row r="17" ht="34" customHeight="1">
      <x:c r="A17" s="135"/>
      <x:c r="B17" s="135"/>
      <x:c r="C17" s="135"/>
      <x:c r="D17" s="136" t="str">
        <x:v>Reporting override</x:v>
      </x:c>
      <x:c r="E17" s="137" t="n">
        <x:f>COUNTIF('52 Test Cases'!D2:D53,D17)</x:f>
        <x:v>2</x:v>
      </x:c>
      <x:c r="F17" s="135"/>
    </x:row>
    <x:row r="18" ht="34" customHeight="1">
      <x:c r="A18" s="135"/>
      <x:c r="B18" s="135"/>
      <x:c r="C18" s="135"/>
      <x:c r="D18" s="136" t="str">
        <x:v>Role / count syntax</x:v>
      </x:c>
      <x:c r="E18" s="137" t="n">
        <x:f>COUNTIF('52 Test Cases'!D2:D53,D18)</x:f>
        <x:v>7</x:v>
      </x:c>
      <x:c r="F18" s="135"/>
    </x:row>
    <x:row r="19" ht="34" customHeight="1">
      <x:c r="A19" s="135"/>
      <x:c r="B19" s="135"/>
      <x:c r="C19" s="135"/>
      <x:c r="D19" s="136" t="str">
        <x:v>Scope guard</x:v>
      </x:c>
      <x:c r="E19" s="137" t="n">
        <x:f>COUNTIF('52 Test Cases'!D2:D53,D19)</x:f>
        <x:v>1</x:v>
      </x:c>
      <x:c r="F19" s="135"/>
    </x:row>
    <x:row r="20" ht="34" customHeight="1">
      <x:c r="A20" s="135"/>
      <x:c r="B20" s="135"/>
      <x:c r="C20" s="135"/>
      <x:c r="D20" s="136" t="str">
        <x:v>Source preservation</x:v>
      </x:c>
      <x:c r="E20" s="137" t="n">
        <x:f>COUNTIF('52 Test Cases'!D2:D53,D20)</x:f>
        <x:v>2</x:v>
      </x:c>
      <x:c r="F20" s="135"/>
    </x:row>
    <x:row r="21">
      <x:c r="A21" s="135"/>
      <x:c r="B21" s="135"/>
      <x:c r="C21" s="135"/>
      <x:c r="D21" s="138" t="str">
        <x:v>Time parsing</x:v>
      </x:c>
      <x:c r="E21" s="139" t="n">
        <x:f>COUNTIF('52 Test Cases'!D2:D53,D21)</x:f>
        <x:v>3</x:v>
      </x:c>
      <x:c r="F21" s="135"/>
    </x:row>
    <x:row r="22">
      <x:c r="A22" s="135"/>
      <x:c r="B22" s="135"/>
      <x:c r="C22" s="135"/>
      <x:c r="D22" s="135"/>
      <x:c r="E22" s="135"/>
      <x:c r="F22" s="135"/>
    </x:row>
    <x:row r="23">
      <x:c r="A23" s="135"/>
      <x:c r="B23" s="135"/>
      <x:c r="C23" s="135"/>
      <x:c r="D23" s="135"/>
      <x:c r="E23" s="135"/>
      <x:c r="F23" s="135"/>
    </x:row>
    <x:row r="24">
      <x:c r="A24" s="6" t="str">
        <x:v>Important notes</x:v>
      </x:c>
      <x:c r="B24" s="6"/>
      <x:c r="C24" s="6"/>
      <x:c r="D24" s="6"/>
      <x:c r="E24" s="6"/>
      <x:c r="F24" s="6"/>
    </x:row>
    <x:row r="25" ht="34" customHeight="1">
      <x:c r="A25" s="30" t="str">
        <x:v>The first sheet contains the exact 52 pytest-backed cases from the locked parser build.</x:v>
      </x:c>
      <x:c r="B25" s="30"/>
      <x:c r="C25" s="30"/>
      <x:c r="D25" s="30"/>
      <x:c r="E25" s="30"/>
      <x:c r="F25" s="30"/>
    </x:row>
    <x:row r="26" ht="34" customHeight="1">
      <x:c r="A26" s="30" t="str">
        <x:v>TC-23, TC-44 and TC-45 are explicit NEEDS_REVIEW cases.</x:v>
      </x:c>
      <x:c r="B26" s="30"/>
      <x:c r="C26" s="30"/>
      <x:c r="D26" s="30"/>
      <x:c r="E26" s="30"/>
      <x:c r="F26" s="30"/>
    </x:row>
    <x:row r="27" ht="34" customHeight="1">
      <x:c r="A27" s="30" t="str">
        <x:v>TC-46 uses CNA only as a scope guard: agreed production scope is LPN + STNA only; do not map CNA.</x:v>
      </x:c>
      <x:c r="B27" s="30"/>
      <x:c r="C27" s="30"/>
      <x:c r="D27" s="30"/>
      <x:c r="E27" s="30"/>
      <x:c r="F27" s="30"/>
    </x:row>
    <x:row r="28" ht="34" customHeight="1">
      <x:c r="A28" s="30" t="str">
        <x:v>The Key Manual Regression sheet adds 5 browser stress scenarios used during our manual validation; they are NOT part of the 52 count.</x:v>
      </x:c>
      <x:c r="B28" s="30"/>
      <x:c r="C28" s="30"/>
      <x:c r="D28" s="30"/>
      <x:c r="E28" s="30"/>
      <x:c r="F28" s="30"/>
    </x:row>
    <x:row r="29" ht="34" customHeight="1">
      <x:c r="A29" s="30" t="str">
        <x:v>Use Default Year = 2026 for these samples unless you intentionally test a different received_at year.</x:v>
      </x:c>
      <x:c r="B29" s="30"/>
      <x:c r="C29" s="30"/>
      <x:c r="D29" s="30"/>
      <x:c r="E29" s="30"/>
      <x:c r="F29" s="30"/>
    </x:row>
  </x:sheetData>
  <x:mergeCells>
    <x:mergeCell ref="A1:F1"/>
    <x:mergeCell ref="A24:F24"/>
    <x:mergeCell ref="A25:F25"/>
    <x:mergeCell ref="A26:F26"/>
    <x:mergeCell ref="A27:F27"/>
    <x:mergeCell ref="A28:F28"/>
    <x:mergeCell ref="A29:F29"/>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36" hidden="0" customWidth="1"/>
    <x:col min="4" max="4" width="28" hidden="0" customWidth="1"/>
    <x:col min="5" max="5" width="20" hidden="0" customWidth="1"/>
    <x:col min="6" max="6" width="18" hidden="0" customWidth="1"/>
    <x:col min="7" max="7" width="48" hidden="0" customWidth="1"/>
    <x:col min="8" max="8" width="12" hidden="0" customWidth="1"/>
    <x:col min="9" max="9" width="17" hidden="0" customWidth="1"/>
    <x:col min="10" max="10" width="18" hidden="0" customWidth="1"/>
    <x:col min="11" max="11" width="44" hidden="0" customWidth="1"/>
    <x:col min="12" max="12" width="42" hidden="0" customWidth="1"/>
    <x:col min="13" max="13" width="42" hidden="0" customWidth="1"/>
    <x:col min="14" max="14" width="14" hidden="0" customWidth="1"/>
    <x:col min="15" max="15" width="16" hidden="0" customWidth="1"/>
    <x:col min="16" max="16" width="18" hidden="0" customWidth="1"/>
    <x:col min="17" max="17" width="42" hidden="0" customWidth="1"/>
  </x:cols>
  <x:sheetData>
    <x:row r="1" ht="32" customHeight="1">
      <x:c r="A1" s="12" t="str">
        <x:v>Test ID</x:v>
      </x:c>
      <x:c r="B1" s="13" t="str">
        <x:v>Suite</x:v>
      </x:c>
      <x:c r="C1" s="13" t="str">
        <x:v>Pytest Test Name</x:v>
      </x:c>
      <x:c r="D1" s="13" t="str">
        <x:v>Category</x:v>
      </x:c>
      <x:c r="E1" s="13" t="str">
        <x:v>Validation Class</x:v>
      </x:c>
      <x:c r="F1" s="13" t="str">
        <x:v>Subject (test exact)</x:v>
      </x:c>
      <x:c r="G1" s="13" t="str">
        <x:v>Sample Input — copy/paste</x:v>
      </x:c>
      <x:c r="H1" s="13" t="str">
        <x:v>Default Year</x:v>
      </x:c>
      <x:c r="I1" s="13" t="str">
        <x:v>Expected Status</x:v>
      </x:c>
      <x:c r="J1" s="13" t="str">
        <x:v>Expected Shift Count</x:v>
      </x:c>
      <x:c r="K1" s="13" t="str">
        <x:v>Expected Shifts / Parsed Rows</x:v>
      </x:c>
      <x:c r="L1" s="13" t="str">
        <x:v>Expected Issues</x:v>
      </x:c>
      <x:c r="M1" s="13" t="str">
        <x:v>Key Manual Check</x:v>
      </x:c>
      <x:c r="N1" s="13" t="str">
        <x:v>Manual Result</x:v>
      </x:c>
      <x:c r="O1" s="13" t="str">
        <x:v>Actual Status</x:v>
      </x:c>
      <x:c r="P1" s="13" t="str">
        <x:v>Actual Shift Count</x:v>
      </x:c>
      <x:c r="Q1" s="14" t="str">
        <x:v>Actual Issues / Notes</x:v>
      </x:c>
    </x:row>
    <x:row r="2" ht="78" customHeight="1">
      <x:c r="A2" s="41" t="str">
        <x:v>TC-01</x:v>
      </x:c>
      <x:c r="B2" s="42" t="str">
        <x:v>test_normalized_pipe_input</x:v>
      </x:c>
      <x:c r="C2" s="42" t="str">
        <x:v>test_normalized_pipe_unicode_arrow</x:v>
      </x:c>
      <x:c r="D2" s="42" t="str">
        <x:v>Normalized / Mixed format</x:v>
      </x:c>
      <x:c r="E2" s="42" t="str">
        <x:v>NORMAL PARSE</x:v>
      </x:c>
      <x:c r="F2" s="42" t="str"/>
      <x:c r="G2" s="42" t="str">
        <x:v>2026-09-12 | 15:00:00 → 23:30:00 | LPN | 1</x:v>
      </x:c>
      <x:c r="H2" s="42" t="n">
        <x:v>2026</x:v>
      </x:c>
      <x:c r="I2" s="42" t="str">
        <x:v>PARSED</x:v>
      </x:c>
      <x:c r="J2" s="42" t="n">
        <x:v>1</x:v>
      </x:c>
      <x:c r="K2" s="42" t="str">
        <x:v>2026-09-12 | 15:00:00 → 23:30:00 | LPN | 1</x:v>
      </x:c>
      <x:c r="L2" s="42" t="str">
        <x:v>[]</x:v>
      </x:c>
      <x:c r="M2" s="42" t="str">
        <x:v>Unicode arrow pipe format must parse into one LPN shift.</x:v>
      </x:c>
      <x:c r="N2" s="42" t="str">
        <x:v>Not Run</x:v>
      </x:c>
      <x:c r="O2" s="42" t="str"/>
      <x:c r="P2" s="42" t="str"/>
      <x:c r="Q2" s="43" t="str"/>
    </x:row>
    <x:row r="3" ht="78" customHeight="1">
      <x:c r="A3" s="41" t="str">
        <x:v>TC-02</x:v>
      </x:c>
      <x:c r="B3" s="42" t="str">
        <x:v>test_normalized_pipe_input</x:v>
      </x:c>
      <x:c r="C3" s="42" t="str">
        <x:v>test_normalized_pipe_ascii_arrow</x:v>
      </x:c>
      <x:c r="D3" s="42" t="str">
        <x:v>Normalized / Mixed format</x:v>
      </x:c>
      <x:c r="E3" s="42" t="str">
        <x:v>NORMAL PARSE</x:v>
      </x:c>
      <x:c r="F3" s="42" t="str"/>
      <x:c r="G3" s="42" t="str">
        <x:v>2026-09-12 | 23:00 -&gt; 07:30 | STNA | 2</x:v>
      </x:c>
      <x:c r="H3" s="42" t="n">
        <x:v>2026</x:v>
      </x:c>
      <x:c r="I3" s="42" t="str">
        <x:v>PARSED</x:v>
      </x:c>
      <x:c r="J3" s="42" t="n">
        <x:v>1</x:v>
      </x:c>
      <x:c r="K3" s="42" t="str">
        <x:v>2026-09-12 | 23:00:00 → 07:30:00 | STNA | 2</x:v>
      </x:c>
      <x:c r="L3" s="42" t="str">
        <x:v>[]</x:v>
      </x:c>
      <x:c r="M3" s="42" t="str">
        <x:v>ASCII '-&gt;' pipe format must parse into one STNA shift; overnight is valid.</x:v>
      </x:c>
      <x:c r="N3" s="42" t="str">
        <x:v>Not Run</x:v>
      </x:c>
      <x:c r="O3" s="42" t="str"/>
      <x:c r="P3" s="42" t="str"/>
      <x:c r="Q3" s="43" t="str"/>
    </x:row>
    <x:row r="4" ht="78" customHeight="1">
      <x:c r="A4" s="41" t="str">
        <x:v>TC-03</x:v>
      </x:c>
      <x:c r="B4" s="42" t="str">
        <x:v>test_normalized_pipe_input</x:v>
      </x:c>
      <x:c r="C4" s="42" t="str">
        <x:v>test_mixed_raw_and_normalized_lines</x:v>
      </x:c>
      <x:c r="D4" s="42" t="str">
        <x:v>Normalized / Mixed format</x:v>
      </x:c>
      <x:c r="E4" s="42" t="str">
        <x:v>NORMAL PARSE</x:v>
      </x:c>
      <x:c r="F4" s="42" t="str"/>
      <x:c r="G4" s="42" t="str">
        <x:v>9/12 (11pm-730am) 1 LPN
2026-09-13 | 15:00:00 → 23:30:00 | STNA | 2</x:v>
      </x:c>
      <x:c r="H4" s="42" t="n">
        <x:v>2026</x:v>
      </x:c>
      <x:c r="I4" s="42" t="str">
        <x:v>PARSED</x:v>
      </x:c>
      <x:c r="J4" s="42" t="n">
        <x:v>2</x:v>
      </x:c>
      <x:c r="K4" s="42" t="str">
        <x:v>2026-09-12 | 23:00:00 → 07:30:00 | LPN | 1
2026-09-13 | 15:00:00 → 23:30:00 | STNA | 2</x:v>
      </x:c>
      <x:c r="L4" s="42" t="str">
        <x:v>[]</x:v>
      </x:c>
      <x:c r="M4" s="42" t="str">
        <x:v>Raw OVH line + normalized pipe line must both be parsed in the same body.</x:v>
      </x:c>
      <x:c r="N4" s="42" t="str">
        <x:v>Not Run</x:v>
      </x:c>
      <x:c r="O4" s="42" t="str"/>
      <x:c r="P4" s="42" t="str"/>
      <x:c r="Q4" s="43" t="str"/>
    </x:row>
    <x:row r="5" ht="78" customHeight="1">
      <x:c r="A5" s="41" t="str">
        <x:v>TC-04</x:v>
      </x:c>
      <x:c r="B5" s="42" t="str">
        <x:v>test_parser_v2</x:v>
      </x:c>
      <x:c r="C5" s="42" t="str">
        <x:v>test_observed_mixed_roles</x:v>
      </x:c>
      <x:c r="D5" s="42" t="str">
        <x:v>Role / count syntax</x:v>
      </x:c>
      <x:c r="E5" s="42" t="str">
        <x:v>NORMAL PARSE</x:v>
      </x:c>
      <x:c r="F5" s="42" t="str"/>
      <x:c r="G5" s="42" t="str">
        <x:v>9/12 (11pm-730am) 1 LPN, 2 STNAs</x:v>
      </x:c>
      <x:c r="H5" s="42" t="n">
        <x:v>2026</x:v>
      </x:c>
      <x:c r="I5" s="42" t="str">
        <x:v>PARSED</x:v>
      </x:c>
      <x:c r="J5" s="42" t="n">
        <x:v>2</x:v>
      </x:c>
      <x:c r="K5" s="42" t="str">
        <x:v>2026-09-12 | 23:00:00 → 07:30:00 | LPN | 1
2026-09-12 | 23:00:00 → 07:30:00 | STNA | 2</x:v>
      </x:c>
      <x:c r="L5" s="42" t="str">
        <x:v>[]</x:v>
      </x:c>
      <x:c r="M5" s="42" t="str">
        <x:v>Same time block must split into separate LPN and STNA shift records with counts 1 and 2.</x:v>
      </x:c>
      <x:c r="N5" s="42" t="str">
        <x:v>Not Run</x:v>
      </x:c>
      <x:c r="O5" s="42" t="str"/>
      <x:c r="P5" s="42" t="str"/>
      <x:c r="Q5" s="43" t="str"/>
    </x:row>
    <x:row r="6" ht="78" customHeight="1">
      <x:c r="A6" s="41" t="str">
        <x:v>TC-05</x:v>
      </x:c>
      <x:c r="B6" s="42" t="str">
        <x:v>test_parser_v2</x:v>
      </x:c>
      <x:c r="C6" s="42" t="str">
        <x:v>test_multiple_ranges_same_line</x:v>
      </x:c>
      <x:c r="D6" s="42" t="str">
        <x:v>Multiple shifts same line</x:v>
      </x:c>
      <x:c r="E6" s="42" t="str">
        <x:v>NORMAL PARSE</x:v>
      </x:c>
      <x:c r="F6" s="42" t="str"/>
      <x:c r="G6" s="42" t="str">
        <x:v>9/14 (3pm-1130pm) 1 LPN. (7pm-1130pm) 1 LPN</x:v>
      </x:c>
      <x:c r="H6" s="42" t="n">
        <x:v>2026</x:v>
      </x:c>
      <x:c r="I6" s="42" t="str">
        <x:v>PARSED</x:v>
      </x:c>
      <x:c r="J6" s="42" t="n">
        <x:v>2</x:v>
      </x:c>
      <x:c r="K6" s="42" t="str">
        <x:v>2026-09-14 | 15:00:00 → 23:30:00 | LPN | 1
2026-09-14 | 19:00:00 → 23:30:00 | LPN | 1</x:v>
      </x:c>
      <x:c r="L6" s="42" t="str">
        <x:v>[]</x:v>
      </x:c>
      <x:c r="M6" s="42" t="str">
        <x:v>One line contains two LPN time ranges; both must be extracted separately.</x:v>
      </x:c>
      <x:c r="N6" s="42" t="str">
        <x:v>Not Run</x:v>
      </x:c>
      <x:c r="O6" s="42" t="str"/>
      <x:c r="P6" s="42" t="str"/>
      <x:c r="Q6" s="43" t="str"/>
    </x:row>
    <x:row r="7" ht="78" customHeight="1">
      <x:c r="A7" s="41" t="str">
        <x:v>TC-06</x:v>
      </x:c>
      <x:c r="B7" s="42" t="str">
        <x:v>test_parser_v2</x:v>
      </x:c>
      <x:c r="C7" s="42" t="str">
        <x:v>test_compact_times</x:v>
      </x:c>
      <x:c r="D7" s="42" t="str">
        <x:v>Time parsing</x:v>
      </x:c>
      <x:c r="E7" s="42" t="str">
        <x:v>NORMAL PARSE</x:v>
      </x:c>
      <x:c r="F7" s="42" t="str"/>
      <x:c r="G7" s="42" t="str">
        <x:v>9/11 (7am-330pm) 2 STNAs. (7am-1130am) 2 STNAs</x:v>
      </x:c>
      <x:c r="H7" s="42" t="n">
        <x:v>2026</x:v>
      </x:c>
      <x:c r="I7" s="42" t="str">
        <x:v>PARSED</x:v>
      </x:c>
      <x:c r="J7" s="42" t="n">
        <x:v>2</x:v>
      </x:c>
      <x:c r="K7" s="42" t="str">
        <x:v>2026-09-11 | 07:00:00 → 15:30:00 | STNA | 2
2026-09-11 | 07:00:00 → 11:30:00 | STNA | 2</x:v>
      </x:c>
      <x:c r="L7" s="42" t="str">
        <x:v>[]</x:v>
      </x:c>
      <x:c r="M7" s="42" t="str">
        <x:v>Compact 330pm and 1130am must normalize to 15:30:00 and 11:30:00.</x:v>
      </x:c>
      <x:c r="N7" s="42" t="str">
        <x:v>Not Run</x:v>
      </x:c>
      <x:c r="O7" s="42" t="str"/>
      <x:c r="P7" s="42" t="str"/>
      <x:c r="Q7" s="43" t="str"/>
    </x:row>
    <x:row r="8" ht="78" customHeight="1">
      <x:c r="A8" s="41" t="str">
        <x:v>TC-07</x:v>
      </x:c>
      <x:c r="B8" s="42" t="str">
        <x:v>test_parser_v2</x:v>
      </x:c>
      <x:c r="C8" s="42" t="str">
        <x:v>test_reporting_override</x:v>
      </x:c>
      <x:c r="D8" s="42" t="str">
        <x:v>Reporting override</x:v>
      </x:c>
      <x:c r="E8" s="42" t="str">
        <x:v>NORMAL PARSE</x:v>
      </x:c>
      <x:c r="F8" s="42" t="str"/>
      <x:c r="G8" s="42" t="str">
        <x:v>9/14 (11pm-730am) 1 LPN.
(3am-730am) 1 LPN-reporting 9/15 at 3am</x:v>
      </x:c>
      <x:c r="H8" s="42" t="n">
        <x:v>2026</x:v>
      </x:c>
      <x:c r="I8" s="42" t="str">
        <x:v>PARSED</x:v>
      </x:c>
      <x:c r="J8" s="42" t="n">
        <x:v>2</x:v>
      </x:c>
      <x:c r="K8" s="42" t="str">
        <x:v>2026-09-14 | 23:00:00 → 07:30:00 | LPN | 1
2026-09-15 | 03:00:00 → 07:30:00 | LPN | 1</x:v>
      </x:c>
      <x:c r="L8" s="42" t="str">
        <x:v>[]</x:v>
      </x:c>
      <x:c r="M8" s="42" t="str">
        <x:v>Explicit 'reporting 9/15 at 3am' must override inherited date/time for second shift.</x:v>
      </x:c>
      <x:c r="N8" s="42" t="str">
        <x:v>Not Run</x:v>
      </x:c>
      <x:c r="O8" s="42" t="str"/>
      <x:c r="P8" s="42" t="str"/>
      <x:c r="Q8" s="43" t="str"/>
    </x:row>
    <x:row r="9" ht="78" customHeight="1">
      <x:c r="A9" s="41" t="str">
        <x:v>TC-08</x:v>
      </x:c>
      <x:c r="B9" s="42" t="str">
        <x:v>test_parser_v2</x:v>
      </x:c>
      <x:c r="C9" s="42" t="str">
        <x:v>test_paragraph_noise_ignored</x:v>
      </x:c>
      <x:c r="D9" s="42" t="str">
        <x:v>Paragraph / noise handling</x:v>
      </x:c>
      <x:c r="E9" s="42" t="str">
        <x:v>NORMAL PARSE</x:v>
      </x:c>
      <x:c r="F9" s="42" t="str"/>
      <x:c r="G9" s="42" t="str">
        <x:v>Good morning team,
Please review the staffing needs below.
We appreciate your continued support.
9/12 (11pm-730am) 1 LPN, 2 STNAs
Please confirm if anyone is available.
Thank you.</x:v>
      </x:c>
      <x:c r="H9" s="42" t="n">
        <x:v>2026</x:v>
      </x:c>
      <x:c r="I9" s="42" t="str">
        <x:v>PARSED</x:v>
      </x:c>
      <x:c r="J9" s="42" t="n">
        <x:v>2</x:v>
      </x:c>
      <x:c r="K9" s="42" t="str">
        <x:v>2026-09-12 | 23:00:00 → 07:30:00 | LPN | 1
2026-09-12 | 23:00:00 → 07:30:00 | STNA | 2</x:v>
      </x:c>
      <x:c r="L9" s="42" t="str">
        <x:v>[]</x:v>
      </x:c>
      <x:c r="M9" s="42" t="str">
        <x:v>Greeting/prose/sign-off must be ignored; only staffing line creates shifts.</x:v>
      </x:c>
      <x:c r="N9" s="42" t="str">
        <x:v>Not Run</x:v>
      </x:c>
      <x:c r="O9" s="42" t="str"/>
      <x:c r="P9" s="42" t="str"/>
      <x:c r="Q9" s="43" t="str"/>
    </x:row>
    <x:row r="10" ht="78" customHeight="1">
      <x:c r="A10" s="41" t="str">
        <x:v>TC-09</x:v>
      </x:c>
      <x:c r="B10" s="42" t="str">
        <x:v>test_parser_v2</x:v>
      </x:c>
      <x:c r="C10" s="42" t="str">
        <x:v>test_descriptive_paragraph_mentions_roles_without_false_warning</x:v>
      </x:c>
      <x:c r="D10" s="42" t="str">
        <x:v>Paragraph / noise handling</x:v>
      </x:c>
      <x:c r="E10" s="42" t="str">
        <x:v>NORMAL PARSE</x:v>
      </x:c>
      <x:c r="F10" s="42" t="str"/>
      <x:c r="G10" s="42" t="str">
        <x:v>Good morning Kelly,
We are reviewing LPN and STNA coverage for the upcoming weekend.
Please see the current open needs below.
9/12 (11pm-730am) 1 LPN, 2 STNAs
Thank you.</x:v>
      </x:c>
      <x:c r="H10" s="42" t="n">
        <x:v>2026</x:v>
      </x:c>
      <x:c r="I10" s="42" t="str">
        <x:v>PARSED</x:v>
      </x:c>
      <x:c r="J10" s="42" t="n">
        <x:v>2</x:v>
      </x:c>
      <x:c r="K10" s="42" t="str">
        <x:v>2026-09-12 | 23:00:00 → 07:30:00 | LPN | 1
2026-09-12 | 23:00:00 → 07:30:00 | STNA | 2</x:v>
      </x:c>
      <x:c r="L10" s="42" t="str">
        <x:v>[]</x:v>
      </x:c>
      <x:c r="M10" s="42" t="str">
        <x:v>Mentions of LPN/STNA in prose must not create false issues.</x:v>
      </x:c>
      <x:c r="N10" s="42" t="str">
        <x:v>Not Run</x:v>
      </x:c>
      <x:c r="O10" s="42" t="str"/>
      <x:c r="P10" s="42" t="str"/>
      <x:c r="Q10" s="43" t="str"/>
    </x:row>
    <x:row r="11" ht="78" customHeight="1">
      <x:c r="A11" s="41" t="str">
        <x:v>TC-10</x:v>
      </x:c>
      <x:c r="B11" s="42" t="str">
        <x:v>test_parser_v2</x:v>
      </x:c>
      <x:c r="C11" s="42" t="str">
        <x:v>test_labeled_multiline_fields</x:v>
      </x:c>
      <x:c r="D11" s="42" t="str">
        <x:v>Multiline / labeled fields</x:v>
      </x:c>
      <x:c r="E11" s="42" t="str">
        <x:v>NORMAL PARSE</x:v>
      </x:c>
      <x:c r="F11" s="42" t="str"/>
      <x:c r="G11" s="42" t="str">
        <x:v>Date: 9/12
Shift: 11pm-730am
Need: 1 LPN, 2 STNAs</x:v>
      </x:c>
      <x:c r="H11" s="42" t="n">
        <x:v>2026</x:v>
      </x:c>
      <x:c r="I11" s="42" t="str">
        <x:v>PARSED</x:v>
      </x:c>
      <x:c r="J11" s="42" t="n">
        <x:v>2</x:v>
      </x:c>
      <x:c r="K11" s="42" t="str">
        <x:v>2026-09-12 | 23:00:00 → 07:30:00 | LPN | 1
2026-09-12 | 23:00:00 → 07:30:00 | STNA | 2</x:v>
      </x:c>
      <x:c r="L11" s="42" t="str">
        <x:v>[]</x:v>
      </x:c>
      <x:c r="M11" s="42" t="str">
        <x:v>Date/Shift/Need labels across lines must combine into one staffing block.</x:v>
      </x:c>
      <x:c r="N11" s="42" t="str">
        <x:v>Not Run</x:v>
      </x:c>
      <x:c r="O11" s="42" t="str"/>
      <x:c r="P11" s="42" t="str"/>
      <x:c r="Q11" s="43" t="str"/>
    </x:row>
    <x:row r="12" ht="78" customHeight="1">
      <x:c r="A12" s="41" t="str">
        <x:v>TC-11</x:v>
      </x:c>
      <x:c r="B12" s="42" t="str">
        <x:v>test_parser_v2</x:v>
      </x:c>
      <x:c r="C12" s="42" t="str">
        <x:v>test_fully_split_multiline_fields</x:v>
      </x:c>
      <x:c r="D12" s="42" t="str">
        <x:v>Multiline / labeled fields</x:v>
      </x:c>
      <x:c r="E12" s="42" t="str">
        <x:v>NORMAL PARSE</x:v>
      </x:c>
      <x:c r="F12" s="42" t="str"/>
      <x:c r="G12" s="42" t="str">
        <x:v>9/12
11pm-730am
1 LPN
2 STNAs</x:v>
      </x:c>
      <x:c r="H12" s="42" t="n">
        <x:v>2026</x:v>
      </x:c>
      <x:c r="I12" s="42" t="str">
        <x:v>PARSED</x:v>
      </x:c>
      <x:c r="J12" s="42" t="n">
        <x:v>2</x:v>
      </x:c>
      <x:c r="K12" s="42" t="str">
        <x:v>2026-09-12 | 23:00:00 → 07:30:00 | LPN | 1
2026-09-12 | 23:00:00 → 07:30:00 | STNA | 2</x:v>
      </x:c>
      <x:c r="L12" s="42" t="str">
        <x:v>[]</x:v>
      </x:c>
      <x:c r="M12" s="42" t="str">
        <x:v>Date, time, and role/count on separate lines must combine correctly.</x:v>
      </x:c>
      <x:c r="N12" s="42" t="str">
        <x:v>Not Run</x:v>
      </x:c>
      <x:c r="O12" s="42" t="str"/>
      <x:c r="P12" s="42" t="str"/>
      <x:c r="Q12" s="43" t="str"/>
    </x:row>
    <x:row r="13" ht="78" customHeight="1">
      <x:c r="A13" s="41" t="str">
        <x:v>TC-12</x:v>
      </x:c>
      <x:c r="B13" s="42" t="str">
        <x:v>test_parser_v2</x:v>
      </x:c>
      <x:c r="C13" s="42" t="str">
        <x:v>test_natural_language_from_to</x:v>
      </x:c>
      <x:c r="D13" s="42" t="str">
        <x:v>Natural language</x:v>
      </x:c>
      <x:c r="E13" s="42" t="str">
        <x:v>NORMAL PARSE</x:v>
      </x:c>
      <x:c r="F13" s="42" t="str"/>
      <x:c r="G13" s="42" t="str">
        <x:v>For 9/12, we need 1 LPN and 2 STNAs from 11pm to 7:30am.</x:v>
      </x:c>
      <x:c r="H13" s="42" t="n">
        <x:v>2026</x:v>
      </x:c>
      <x:c r="I13" s="42" t="str">
        <x:v>PARSED</x:v>
      </x:c>
      <x:c r="J13" s="42" t="n">
        <x:v>2</x:v>
      </x:c>
      <x:c r="K13" s="42" t="str">
        <x:v>2026-09-12 | 23:00:00 → 07:30:00 | LPN | 1
2026-09-12 | 23:00:00 → 07:30:00 | STNA | 2</x:v>
      </x:c>
      <x:c r="L13" s="42" t="str">
        <x:v>[]</x:v>
      </x:c>
      <x:c r="M13" s="42" t="str">
        <x:v>'from ... to ...' natural language must parse start/end times.</x:v>
      </x:c>
      <x:c r="N13" s="42" t="str">
        <x:v>Not Run</x:v>
      </x:c>
      <x:c r="O13" s="42" t="str"/>
      <x:c r="P13" s="42" t="str"/>
      <x:c r="Q13" s="43" t="str"/>
    </x:row>
    <x:row r="14" ht="78" customHeight="1">
      <x:c r="A14" s="41" t="str">
        <x:v>TC-13</x:v>
      </x:c>
      <x:c r="B14" s="42" t="str">
        <x:v>test_parser_v2</x:v>
      </x:c>
      <x:c r="C14" s="42" t="str">
        <x:v>test_natural_language_until</x:v>
      </x:c>
      <x:c r="D14" s="42" t="str">
        <x:v>Natural language</x:v>
      </x:c>
      <x:c r="E14" s="42" t="str">
        <x:v>NORMAL PARSE</x:v>
      </x:c>
      <x:c r="F14" s="42" t="str"/>
      <x:c r="G14" s="42" t="str">
        <x:v>For 9/12, 1 LPN and 2 STNAs are needed from 11pm until 7:30am.</x:v>
      </x:c>
      <x:c r="H14" s="42" t="n">
        <x:v>2026</x:v>
      </x:c>
      <x:c r="I14" s="42" t="str">
        <x:v>PARSED</x:v>
      </x:c>
      <x:c r="J14" s="42" t="n">
        <x:v>2</x:v>
      </x:c>
      <x:c r="K14" s="42" t="str">
        <x:v>2026-09-12 | 23:00:00 → 07:30:00 | LPN | 1
2026-09-12 | 23:00:00 → 07:30:00 | STNA | 2</x:v>
      </x:c>
      <x:c r="L14" s="42" t="str">
        <x:v>[]</x:v>
      </x:c>
      <x:c r="M14" s="42" t="str">
        <x:v>'from ... until ...' natural language must parse correctly.</x:v>
      </x:c>
      <x:c r="N14" s="42" t="str">
        <x:v>Not Run</x:v>
      </x:c>
      <x:c r="O14" s="42" t="str"/>
      <x:c r="P14" s="42" t="str"/>
      <x:c r="Q14" s="43" t="str"/>
    </x:row>
    <x:row r="15" ht="78" customHeight="1">
      <x:c r="A15" s="41" t="str">
        <x:v>TC-14</x:v>
      </x:c>
      <x:c r="B15" s="42" t="str">
        <x:v>test_parser_v2</x:v>
      </x:c>
      <x:c r="C15" s="42" t="str">
        <x:v>test_unrelated_times_do_not_create_shifts</x:v>
      </x:c>
      <x:c r="D15" s="42" t="str">
        <x:v>Core OVH format</x:v>
      </x:c>
      <x:c r="E15" s="42" t="str">
        <x:v>NORMAL PARSE</x:v>
      </x:c>
      <x:c r="F15" s="42" t="str"/>
      <x:c r="G15" s="42" t="str">
        <x:v>Please call me before 4pm.
9/12 (11pm-730am) 1 LPN
Office hours are 8am-5pm.</x:v>
      </x:c>
      <x:c r="H15" s="42" t="n">
        <x:v>2026</x:v>
      </x:c>
      <x:c r="I15" s="42" t="str">
        <x:v>PARSED</x:v>
      </x:c>
      <x:c r="J15" s="42" t="n">
        <x:v>1</x:v>
      </x:c>
      <x:c r="K15" s="42" t="str">
        <x:v>2026-09-12 | 23:00:00 → 07:30:00 | LPN | 1</x:v>
      </x:c>
      <x:c r="L15" s="42" t="str">
        <x:v>[]</x:v>
      </x:c>
      <x:c r="M15" s="42" t="str">
        <x:v>Ignore call time and office hours; create only the staffing shift.</x:v>
      </x:c>
      <x:c r="N15" s="42" t="str">
        <x:v>Not Run</x:v>
      </x:c>
      <x:c r="O15" s="42" t="str"/>
      <x:c r="P15" s="42" t="str"/>
      <x:c r="Q15" s="43" t="str"/>
    </x:row>
    <x:row r="16" ht="78" customHeight="1">
      <x:c r="A16" s="41" t="str">
        <x:v>TC-15</x:v>
      </x:c>
      <x:c r="B16" s="42" t="str">
        <x:v>test_parser_v2</x:v>
      </x:c>
      <x:c r="C16" s="42" t="str">
        <x:v>test_month_name_date</x:v>
      </x:c>
      <x:c r="D16" s="42" t="str">
        <x:v>Date parsing</x:v>
      </x:c>
      <x:c r="E16" s="42" t="str">
        <x:v>NORMAL PARSE</x:v>
      </x:c>
      <x:c r="F16" s="42" t="str"/>
      <x:c r="G16" s="42" t="str">
        <x:v>September 12, 2026 from 11pm to 7:30am - need 1 LPN and 2 STNAs.</x:v>
      </x:c>
      <x:c r="H16" s="42" t="n">
        <x:v>2026</x:v>
      </x:c>
      <x:c r="I16" s="42" t="str">
        <x:v>PARSED</x:v>
      </x:c>
      <x:c r="J16" s="42" t="n">
        <x:v>2</x:v>
      </x:c>
      <x:c r="K16" s="42" t="str">
        <x:v>2026-09-12 | 23:00:00 → 07:30:00 | LPN | 1
2026-09-12 | 23:00:00 → 07:30:00 | STNA | 2</x:v>
      </x:c>
      <x:c r="L16" s="42" t="str">
        <x:v>[]</x:v>
      </x:c>
      <x:c r="M16" s="42" t="str">
        <x:v>Full month-name date must resolve to 2026-09-12.</x:v>
      </x:c>
      <x:c r="N16" s="42" t="str">
        <x:v>Not Run</x:v>
      </x:c>
      <x:c r="O16" s="42" t="str"/>
      <x:c r="P16" s="42" t="str"/>
      <x:c r="Q16" s="43" t="str"/>
    </x:row>
    <x:row r="17" ht="78" customHeight="1">
      <x:c r="A17" s="41" t="str">
        <x:v>TC-16</x:v>
      </x:c>
      <x:c r="B17" s="42" t="str">
        <x:v>test_parser_v2</x:v>
      </x:c>
      <x:c r="C17" s="42" t="str">
        <x:v>test_short_month_name_date</x:v>
      </x:c>
      <x:c r="D17" s="42" t="str">
        <x:v>Date parsing</x:v>
      </x:c>
      <x:c r="E17" s="42" t="str">
        <x:v>NORMAL PARSE</x:v>
      </x:c>
      <x:c r="F17" s="42" t="str"/>
      <x:c r="G17" s="42" t="str">
        <x:v>Sep 12 from 3pm to 11:30pm: 1 LPN</x:v>
      </x:c>
      <x:c r="H17" s="42" t="n">
        <x:v>2026</x:v>
      </x:c>
      <x:c r="I17" s="42" t="str">
        <x:v>PARSED</x:v>
      </x:c>
      <x:c r="J17" s="42" t="n">
        <x:v>1</x:v>
      </x:c>
      <x:c r="K17" s="42" t="str">
        <x:v>2026-09-12 | 15:00:00 → 23:30:00 | LPN | 1</x:v>
      </x:c>
      <x:c r="L17" s="42" t="str">
        <x:v>[]</x:v>
      </x:c>
      <x:c r="M17" s="42" t="str">
        <x:v>Short month-name date must resolve to 2026-09-12.</x:v>
      </x:c>
      <x:c r="N17" s="42" t="str">
        <x:v>Not Run</x:v>
      </x:c>
      <x:c r="O17" s="42" t="str"/>
      <x:c r="P17" s="42" t="str"/>
      <x:c r="Q17" s="43" t="str"/>
    </x:row>
    <x:row r="18" ht="78" customHeight="1">
      <x:c r="A18" s="41" t="str">
        <x:v>TC-17</x:v>
      </x:c>
      <x:c r="B18" s="42" t="str">
        <x:v>test_parser_v2</x:v>
      </x:c>
      <x:c r="C18" s="42" t="str">
        <x:v>test_date_with_dash</x:v>
      </x:c>
      <x:c r="D18" s="42" t="str">
        <x:v>Date parsing</x:v>
      </x:c>
      <x:c r="E18" s="42" t="str">
        <x:v>NORMAL PARSE</x:v>
      </x:c>
      <x:c r="F18" s="42" t="str"/>
      <x:c r="G18" s="42" t="str">
        <x:v>9-12-2026 (11pm-730am) 1 LPN</x:v>
      </x:c>
      <x:c r="H18" s="42" t="n">
        <x:v>2026</x:v>
      </x:c>
      <x:c r="I18" s="42" t="str">
        <x:v>PARSED</x:v>
      </x:c>
      <x:c r="J18" s="42" t="n">
        <x:v>1</x:v>
      </x:c>
      <x:c r="K18" s="42" t="str">
        <x:v>2026-09-12 | 23:00:00 → 07:30:00 | LPN | 1</x:v>
      </x:c>
      <x:c r="L18" s="42" t="str">
        <x:v>[]</x:v>
      </x:c>
      <x:c r="M18" s="42" t="str">
        <x:v>Dash-separated numeric date must parse.</x:v>
      </x:c>
      <x:c r="N18" s="42" t="str">
        <x:v>Not Run</x:v>
      </x:c>
      <x:c r="O18" s="42" t="str"/>
      <x:c r="P18" s="42" t="str"/>
      <x:c r="Q18" s="43" t="str"/>
    </x:row>
    <x:row r="19" ht="78" customHeight="1">
      <x:c r="A19" s="41" t="str">
        <x:v>TC-18</x:v>
      </x:c>
      <x:c r="B19" s="42" t="str">
        <x:v>test_parser_v2</x:v>
      </x:c>
      <x:c r="C19" s="42" t="str">
        <x:v>test_role_colon_count</x:v>
      </x:c>
      <x:c r="D19" s="42" t="str">
        <x:v>Role / count syntax</x:v>
      </x:c>
      <x:c r="E19" s="42" t="str">
        <x:v>NORMAL PARSE</x:v>
      </x:c>
      <x:c r="F19" s="42" t="str"/>
      <x:c r="G19" s="42" t="str">
        <x:v>9/12 from 11pm to 7:30am Need: LPN: 1, STNA: 2</x:v>
      </x:c>
      <x:c r="H19" s="42" t="n">
        <x:v>2026</x:v>
      </x:c>
      <x:c r="I19" s="42" t="str">
        <x:v>PARSED</x:v>
      </x:c>
      <x:c r="J19" s="42" t="n">
        <x:v>2</x:v>
      </x:c>
      <x:c r="K19" s="42" t="str">
        <x:v>2026-09-12 | 23:00:00 → 07:30:00 | LPN | 1
2026-09-12 | 23:00:00 → 07:30:00 | STNA | 2</x:v>
      </x:c>
      <x:c r="L19" s="42" t="str">
        <x:v>[]</x:v>
      </x:c>
      <x:c r="M19" s="42" t="str">
        <x:v>Role-first counts like LPN: 1, STNA: 2 must parse.</x:v>
      </x:c>
      <x:c r="N19" s="42" t="str">
        <x:v>Not Run</x:v>
      </x:c>
      <x:c r="O19" s="42" t="str"/>
      <x:c r="P19" s="42" t="str"/>
      <x:c r="Q19" s="43" t="str"/>
    </x:row>
    <x:row r="20" ht="78" customHeight="1">
      <x:c r="A20" s="41" t="str">
        <x:v>TC-19</x:v>
      </x:c>
      <x:c r="B20" s="42" t="str">
        <x:v>test_parser_v2</x:v>
      </x:c>
      <x:c r="C20" s="42" t="str">
        <x:v>test_role_x_count</x:v>
      </x:c>
      <x:c r="D20" s="42" t="str">
        <x:v>Role / count syntax</x:v>
      </x:c>
      <x:c r="E20" s="42" t="str">
        <x:v>NORMAL PARSE</x:v>
      </x:c>
      <x:c r="F20" s="42" t="str"/>
      <x:c r="G20" s="42" t="str">
        <x:v>9/12 11pm-730am LPN x 1, STNA x 2</x:v>
      </x:c>
      <x:c r="H20" s="42" t="n">
        <x:v>2026</x:v>
      </x:c>
      <x:c r="I20" s="42" t="str">
        <x:v>PARSED</x:v>
      </x:c>
      <x:c r="J20" s="42" t="n">
        <x:v>2</x:v>
      </x:c>
      <x:c r="K20" s="42" t="str">
        <x:v>2026-09-12 | 23:00:00 → 07:30:00 | LPN | 1
2026-09-12 | 23:00:00 → 07:30:00 | STNA | 2</x:v>
      </x:c>
      <x:c r="L20" s="42" t="str">
        <x:v>[]</x:v>
      </x:c>
      <x:c r="M20" s="42" t="str">
        <x:v>Role x count syntax must parse.</x:v>
      </x:c>
      <x:c r="N20" s="42" t="str">
        <x:v>Not Run</x:v>
      </x:c>
      <x:c r="O20" s="42" t="str"/>
      <x:c r="P20" s="42" t="str"/>
      <x:c r="Q20" s="43" t="str"/>
    </x:row>
    <x:row r="21" ht="78" customHeight="1">
      <x:c r="A21" s="41" t="str">
        <x:v>TC-20</x:v>
      </x:c>
      <x:c r="B21" s="42" t="str">
        <x:v>test_parser_v2</x:v>
      </x:c>
      <x:c r="C21" s="42" t="str">
        <x:v>test_count_x_role</x:v>
      </x:c>
      <x:c r="D21" s="42" t="str">
        <x:v>Role / count syntax</x:v>
      </x:c>
      <x:c r="E21" s="42" t="str">
        <x:v>NORMAL PARSE</x:v>
      </x:c>
      <x:c r="F21" s="42" t="str"/>
      <x:c r="G21" s="42" t="str">
        <x:v>9/12 11pm-730am 1x LPN, 2x STNA</x:v>
      </x:c>
      <x:c r="H21" s="42" t="n">
        <x:v>2026</x:v>
      </x:c>
      <x:c r="I21" s="42" t="str">
        <x:v>PARSED</x:v>
      </x:c>
      <x:c r="J21" s="42" t="n">
        <x:v>2</x:v>
      </x:c>
      <x:c r="K21" s="42" t="str">
        <x:v>2026-09-12 | 23:00:00 → 07:30:00 | LPN | 1
2026-09-12 | 23:00:00 → 07:30:00 | STNA | 2</x:v>
      </x:c>
      <x:c r="L21" s="42" t="str">
        <x:v>[]</x:v>
      </x:c>
      <x:c r="M21" s="42" t="str">
        <x:v>Count x role syntax must parse.</x:v>
      </x:c>
      <x:c r="N21" s="42" t="str">
        <x:v>Not Run</x:v>
      </x:c>
      <x:c r="O21" s="42" t="str"/>
      <x:c r="P21" s="42" t="str"/>
      <x:c r="Q21" s="43" t="str"/>
    </x:row>
    <x:row r="22" ht="78" customHeight="1">
      <x:c r="A22" s="41" t="str">
        <x:v>TC-21</x:v>
      </x:c>
      <x:c r="B22" s="42" t="str">
        <x:v>test_parser_v2</x:v>
      </x:c>
      <x:c r="C22" s="42" t="str">
        <x:v>test_bullet_lines</x:v>
      </x:c>
      <x:c r="D22" s="42" t="str">
        <x:v>Bullets / list format</x:v>
      </x:c>
      <x:c r="E22" s="42" t="str">
        <x:v>NORMAL PARSE</x:v>
      </x:c>
      <x:c r="F22" s="42" t="str"/>
      <x:c r="G22" s="42" t="str">
        <x:v>Open needs:
- 9/12 (11pm-730am) 1 LPN
- 9/13 (3pm-1130pm) 2 STNAs</x:v>
      </x:c>
      <x:c r="H22" s="42" t="n">
        <x:v>2026</x:v>
      </x:c>
      <x:c r="I22" s="42" t="str">
        <x:v>PARSED</x:v>
      </x:c>
      <x:c r="J22" s="42" t="n">
        <x:v>2</x:v>
      </x:c>
      <x:c r="K22" s="42" t="str">
        <x:v>2026-09-12 | 23:00:00 → 07:30:00 | LPN | 1
2026-09-13 | 15:00:00 → 23:30:00 | STNA | 2</x:v>
      </x:c>
      <x:c r="L22" s="42" t="str">
        <x:v>[]</x:v>
      </x:c>
      <x:c r="M22" s="42" t="str">
        <x:v>Bullet list must create one shift per staffing bullet.</x:v>
      </x:c>
      <x:c r="N22" s="42" t="str">
        <x:v>Not Run</x:v>
      </x:c>
      <x:c r="O22" s="42" t="str"/>
      <x:c r="P22" s="42" t="str"/>
      <x:c r="Q22" s="43" t="str"/>
    </x:row>
    <x:row r="23" ht="78" customHeight="1">
      <x:c r="A23" s="41" t="str">
        <x:v>TC-22</x:v>
      </x:c>
      <x:c r="B23" s="42" t="str">
        <x:v>test_parser_v2</x:v>
      </x:c>
      <x:c r="C23" s="42" t="str">
        <x:v>test_date_line_then_two_shift_blocks</x:v>
      </x:c>
      <x:c r="D23" s="42" t="str">
        <x:v>Date carry-forward / multi-date</x:v>
      </x:c>
      <x:c r="E23" s="42" t="str">
        <x:v>NORMAL PARSE</x:v>
      </x:c>
      <x:c r="F23" s="42" t="str"/>
      <x:c r="G23" s="42" t="str">
        <x:v>9/12
11pm-730am 1 LPN
3pm-11pm 2 STNAs</x:v>
      </x:c>
      <x:c r="H23" s="42" t="n">
        <x:v>2026</x:v>
      </x:c>
      <x:c r="I23" s="42" t="str">
        <x:v>PARSED</x:v>
      </x:c>
      <x:c r="J23" s="42" t="n">
        <x:v>2</x:v>
      </x:c>
      <x:c r="K23" s="42" t="str">
        <x:v>2026-09-12 | 23:00:00 → 07:30:00 | LPN | 1
2026-09-12 | 15:00:00 → 23:00:00 | STNA | 2</x:v>
      </x:c>
      <x:c r="L23" s="42" t="str">
        <x:v>[]</x:v>
      </x:c>
      <x:c r="M23" s="42" t="str">
        <x:v>A date line must carry forward to both following shift lines.</x:v>
      </x:c>
      <x:c r="N23" s="42" t="str">
        <x:v>Not Run</x:v>
      </x:c>
      <x:c r="O23" s="42" t="str"/>
      <x:c r="P23" s="42" t="str"/>
      <x:c r="Q23" s="43" t="str"/>
    </x:row>
    <x:row r="24" ht="78" customHeight="1">
      <x:c r="A24" s="41" t="str">
        <x:v>TC-23</x:v>
      </x:c>
      <x:c r="B24" s="42" t="str">
        <x:v>test_parser_v2</x:v>
      </x:c>
      <x:c r="C24" s="42" t="str">
        <x:v>test_incomplete_staffing_block_needs_review</x:v>
      </x:c>
      <x:c r="D24" s="42" t="str">
        <x:v>NEEDS_REVIEW / incomplete</x:v>
      </x:c>
      <x:c r="E24" s="42" t="str">
        <x:v>MUST REVIEW</x:v>
      </x:c>
      <x:c r="F24" s="42" t="str"/>
      <x:c r="G24" s="42" t="str">
        <x:v>Date: 9/12
Need: 2 LPNs</x:v>
      </x:c>
      <x:c r="H24" s="42" t="n">
        <x:v>2026</x:v>
      </x:c>
      <x:c r="I24" s="42" t="str">
        <x:v>NEEDS_REVIEW</x:v>
      </x:c>
      <x:c r="J24" s="42" t="n">
        <x:v>0</x:v>
      </x:c>
      <x:c r="K24" s="42" t="str"/>
      <x:c r="L24" s="42" t="str">
        <x:v>End of email: incomplete staffing block: Date: 9/12 | Need: 2 LPNs</x:v>
      </x:c>
      <x:c r="M24" s="42" t="str">
        <x:v>Missing time is an in-scope incomplete block: NEEDS_REVIEW, no guessed shift.</x:v>
      </x:c>
      <x:c r="N24" s="42" t="str">
        <x:v>Not Run</x:v>
      </x:c>
      <x:c r="O24" s="42" t="str"/>
      <x:c r="P24" s="42" t="str"/>
      <x:c r="Q24" s="43" t="str"/>
    </x:row>
    <x:row r="25" ht="78" customHeight="1">
      <x:c r="A25" s="41" t="str">
        <x:v>TC-24</x:v>
      </x:c>
      <x:c r="B25" s="42" t="str">
        <x:v>test_parser_v2</x:v>
      </x:c>
      <x:c r="C25" s="42" t="str">
        <x:v>test_random_role_words_without_counts_are_ignored</x:v>
      </x:c>
      <x:c r="D25" s="42" t="str">
        <x:v>Paragraph / noise handling</x:v>
      </x:c>
      <x:c r="E25" s="42" t="str">
        <x:v>NORMAL PARSE</x:v>
      </x:c>
      <x:c r="F25" s="42" t="str"/>
      <x:c r="G25" s="42" t="str">
        <x:v>Our LPN and STNA teams are doing great.
Please call before 4pm.
Thank you.</x:v>
      </x:c>
      <x:c r="H25" s="42" t="n">
        <x:v>2026</x:v>
      </x:c>
      <x:c r="I25" s="42" t="str">
        <x:v>PARSED</x:v>
      </x:c>
      <x:c r="J25" s="42" t="n">
        <x:v>0</x:v>
      </x:c>
      <x:c r="K25" s="42" t="str"/>
      <x:c r="L25" s="42" t="str">
        <x:v>[]</x:v>
      </x:c>
      <x:c r="M25" s="42" t="str">
        <x:v>General prose containing role words but no staffing structure must produce no shifts/issues.</x:v>
      </x:c>
      <x:c r="N25" s="42" t="str">
        <x:v>Not Run</x:v>
      </x:c>
      <x:c r="O25" s="42" t="str"/>
      <x:c r="P25" s="42" t="str"/>
      <x:c r="Q25" s="43" t="str"/>
    </x:row>
    <x:row r="26" ht="78" customHeight="1">
      <x:c r="A26" s="41" t="str">
        <x:v>TC-25</x:v>
      </x:c>
      <x:c r="B26" s="42" t="str">
        <x:v>test_parser_v2</x:v>
      </x:c>
      <x:c r="C26" s="42" t="str">
        <x:v>test_source_content_exactly_preserved</x:v>
      </x:c>
      <x:c r="D26" s="42" t="str">
        <x:v>Source preservation</x:v>
      </x:c>
      <x:c r="E26" s="42" t="str">
        <x:v>PRESERVATION</x:v>
      </x:c>
      <x:c r="F26" s="42" t="str">
        <x:v>x</x:v>
      </x:c>
      <x:c r="G26" s="42" t="str">
        <x:v>Hello
9/12 (11pm-730am) 1 LPN</x:v>
      </x:c>
      <x:c r="H26" s="42" t="n">
        <x:v>2026</x:v>
      </x:c>
      <x:c r="I26" s="42" t="str">
        <x:v>PARSED</x:v>
      </x:c>
      <x:c r="J26" s="42" t="n">
        <x:v>1</x:v>
      </x:c>
      <x:c r="K26" s="42" t="str">
        <x:v>2026-09-12 | 23:00:00 → 07:30:00 | LPN | 1</x:v>
      </x:c>
      <x:c r="L26" s="42" t="str">
        <x:v>[]</x:v>
      </x:c>
      <x:c r="M26" s="42" t="str">
        <x:v>source_content must exactly equal the original pasted body, including blank lines.</x:v>
      </x:c>
      <x:c r="N26" s="42" t="str">
        <x:v>Not Run</x:v>
      </x:c>
      <x:c r="O26" s="42" t="str"/>
      <x:c r="P26" s="42" t="str"/>
      <x:c r="Q26" s="43" t="str"/>
    </x:row>
    <x:row r="27" ht="78" customHeight="1">
      <x:c r="A27" s="41" t="str">
        <x:v>TC-26</x:v>
      </x:c>
      <x:c r="B27" s="42" t="str">
        <x:v>test_parser_v2</x:v>
      </x:c>
      <x:c r="C27" s="42" t="str">
        <x:v>test_adapter_returns_backend_shape</x:v>
      </x:c>
      <x:c r="D27" s="42" t="str">
        <x:v>Backend JSON contract</x:v>
      </x:c>
      <x:c r="E27" s="42" t="str">
        <x:v>BACKEND CONTRACT</x:v>
      </x:c>
      <x:c r="F27" s="42" t="str">
        <x:v>OVH</x:v>
      </x:c>
      <x:c r="G27" s="42" t="str">
        <x:v>9/12 (11pm-730am) 1 LPN, 2 STNAs</x:v>
      </x:c>
      <x:c r="H27" s="42" t="n">
        <x:v>2026</x:v>
      </x:c>
      <x:c r="I27" s="42" t="str">
        <x:v>PARSED</x:v>
      </x:c>
      <x:c r="J27" s="42" t="n">
        <x:v>2</x:v>
      </x:c>
      <x:c r="K27" s="42" t="str">
        <x:v>2026-09-12 | 23:00:00 → 07:30:00 | LPN | 1
2026-09-12 | 23:00:00 → 07:30:00 | STNA | 2</x:v>
      </x:c>
      <x:c r="L27" s="42" t="str">
        <x:v>[]</x:v>
      </x:c>
      <x:c r="M27" s="42" t="str">
        <x:v>Adapter must return exact top-level keys and exact per-shift keys required by backend.</x:v>
      </x:c>
      <x:c r="N27" s="42" t="str">
        <x:v>Not Run</x:v>
      </x:c>
      <x:c r="O27" s="42" t="str"/>
      <x:c r="P27" s="42" t="str"/>
      <x:c r="Q27" s="43" t="str"/>
    </x:row>
    <x:row r="28" ht="78" customHeight="1">
      <x:c r="A28" s="41" t="str">
        <x:v>TC-27</x:v>
      </x:c>
      <x:c r="B28" s="42" t="str">
        <x:v>test_parser_v2</x:v>
      </x:c>
      <x:c r="C28" s="42" t="str">
        <x:v>test_observed_large_block</x:v>
      </x:c>
      <x:c r="D28" s="42" t="str">
        <x:v>Large block / stress</x:v>
      </x:c>
      <x:c r="E28" s="42" t="str">
        <x:v>NORMAL PARSE</x:v>
      </x:c>
      <x:c r="F28" s="42" t="str"/>
      <x:c r="G28" s="42" t="str">
        <x:v>9/11 (7am-330pm) 2 STNAs. (7am-1130am) 2 STNAs
9/11 (7pm-1130pm) 2 STNAs
9/12 (7pm-1130pm) 2 STNAs
9/12 (11pm-730am) 1 LPN, 2 STNAs
9/13 (3pm-1130pm) 4 STNAs. (7pm-1130pm) 2 STNAs
9/13 (11pm-730am) 6 LPNs</x:v>
      </x:c>
      <x:c r="H28" s="42" t="n">
        <x:v>2026</x:v>
      </x:c>
      <x:c r="I28" s="42" t="str">
        <x:v>PARSED</x:v>
      </x:c>
      <x:c r="J28" s="42" t="n">
        <x:v>9</x:v>
      </x:c>
      <x:c r="K28" s="42" t="str">
        <x:v>2026-09-11 | 07:00:00 → 15:30:00 | STNA | 2
2026-09-11 | 07:00:00 → 11:30:00 | STNA | 2
2026-09-11 | 19:00:00 → 23:30:00 | STNA | 2
2026-09-12 | 19:00:00 → 23:30:00 | STNA | 2
2026-09-12 | 23:00:00 → 07:30:00 | LPN | 1
2026-09-12 | 23:00:00 → 07:30:00 | STNA | 2
2026-09-13 | 15:00:00 → 23:30:00 | STNA | 4
2026-09-13 | 19:00:00 → 23:30:00 | STNA | 2
2026-09-13 | 23:00:00 → 07:30:00 | LPN | 6</x:v>
      </x:c>
      <x:c r="L28" s="42" t="str">
        <x:v>[]</x:v>
      </x:c>
      <x:c r="M28" s="42" t="str">
        <x:v>Large multi-date block must produce 9 shift records.</x:v>
      </x:c>
      <x:c r="N28" s="42" t="str">
        <x:v>Not Run</x:v>
      </x:c>
      <x:c r="O28" s="42" t="str"/>
      <x:c r="P28" s="42" t="str"/>
      <x:c r="Q28" s="43" t="str"/>
    </x:row>
    <x:row r="29" ht="78" customHeight="1">
      <x:c r="A29" s="41" t="str">
        <x:v>TC-28</x:v>
      </x:c>
      <x:c r="B29" s="42" t="str">
        <x:v>test_parser_v3_regression</x:v>
      </x:c>
      <x:c r="C29" s="42" t="str">
        <x:v>test_v3_plain_paragraphs</x:v>
      </x:c>
      <x:c r="D29" s="42" t="str">
        <x:v>Paragraph / noise handling</x:v>
      </x:c>
      <x:c r="E29" s="42" t="str">
        <x:v>NORMAL PARSE</x:v>
      </x:c>
      <x:c r="F29" s="42" t="str"/>
      <x:c r="G29" s="42" t="str">
        <x:v>Good morning,
Please review the staffing needs below.
9/12 (11pm-730am) 1 LPN, 2 STNAs
Thank you.</x:v>
      </x:c>
      <x:c r="H29" s="42" t="n">
        <x:v>2026</x:v>
      </x:c>
      <x:c r="I29" s="42" t="str">
        <x:v>PARSED</x:v>
      </x:c>
      <x:c r="J29" s="42" t="n">
        <x:v>2</x:v>
      </x:c>
      <x:c r="K29" s="42" t="str">
        <x:v>2026-09-12 | 23:00:00 → 07:30:00 | LPN | 1
2026-09-12 | 23:00:00 → 07:30:00 | STNA | 2</x:v>
      </x:c>
      <x:c r="L29" s="42" t="str">
        <x:v>[]</x:v>
      </x:c>
      <x:c r="M29" s="42" t="str">
        <x:v>Paragraph wrapper must be ignored; staffing line parsed.</x:v>
      </x:c>
      <x:c r="N29" s="42" t="str">
        <x:v>Not Run</x:v>
      </x:c>
      <x:c r="O29" s="42" t="str"/>
      <x:c r="P29" s="42" t="str"/>
      <x:c r="Q29" s="43" t="str"/>
    </x:row>
    <x:row r="30" ht="78" customHeight="1">
      <x:c r="A30" s="41" t="str">
        <x:v>TC-29</x:v>
      </x:c>
      <x:c r="B30" s="42" t="str">
        <x:v>test_parser_v3_regression</x:v>
      </x:c>
      <x:c r="C30" s="42" t="str">
        <x:v>test_v3_role_words_in_paragraph_are_noise</x:v>
      </x:c>
      <x:c r="D30" s="42" t="str">
        <x:v>Paragraph / noise handling</x:v>
      </x:c>
      <x:c r="E30" s="42" t="str">
        <x:v>NORMAL PARSE</x:v>
      </x:c>
      <x:c r="F30" s="42" t="str"/>
      <x:c r="G30" s="42" t="str">
        <x:v>We are reviewing LPN and STNA coverage this week.
Please see the actual need below.
9/12 (11pm-730am) 1 LPN</x:v>
      </x:c>
      <x:c r="H30" s="42" t="n">
        <x:v>2026</x:v>
      </x:c>
      <x:c r="I30" s="42" t="str">
        <x:v>PARSED</x:v>
      </x:c>
      <x:c r="J30" s="42" t="n">
        <x:v>1</x:v>
      </x:c>
      <x:c r="K30" s="42" t="str">
        <x:v>2026-09-12 | 23:00:00 → 07:30:00 | LPN | 1</x:v>
      </x:c>
      <x:c r="L30" s="42" t="str">
        <x:v>[]</x:v>
      </x:c>
      <x:c r="M30" s="42" t="str">
        <x:v>Role words in descriptive prose are noise; only actual requirement counts.</x:v>
      </x:c>
      <x:c r="N30" s="42" t="str">
        <x:v>Not Run</x:v>
      </x:c>
      <x:c r="O30" s="42" t="str"/>
      <x:c r="P30" s="42" t="str"/>
      <x:c r="Q30" s="43" t="str"/>
    </x:row>
    <x:row r="31" ht="78" customHeight="1">
      <x:c r="A31" s="41" t="str">
        <x:v>TC-30</x:v>
      </x:c>
      <x:c r="B31" s="42" t="str">
        <x:v>test_parser_v3_regression</x:v>
      </x:c>
      <x:c r="C31" s="42" t="str">
        <x:v>test_v3_labels</x:v>
      </x:c>
      <x:c r="D31" s="42" t="str">
        <x:v>Multiline / labeled fields</x:v>
      </x:c>
      <x:c r="E31" s="42" t="str">
        <x:v>NORMAL PARSE</x:v>
      </x:c>
      <x:c r="F31" s="42" t="str"/>
      <x:c r="G31" s="42" t="str">
        <x:v>Date: 9/12
Shift: 11pm-730am
Need: 1 LPN, 2 STNAs</x:v>
      </x:c>
      <x:c r="H31" s="42" t="n">
        <x:v>2026</x:v>
      </x:c>
      <x:c r="I31" s="42" t="str">
        <x:v>PARSED</x:v>
      </x:c>
      <x:c r="J31" s="42" t="n">
        <x:v>2</x:v>
      </x:c>
      <x:c r="K31" s="42" t="str">
        <x:v>2026-09-12 | 23:00:00 → 07:30:00 | LPN | 1
2026-09-12 | 23:00:00 → 07:30:00 | STNA | 2</x:v>
      </x:c>
      <x:c r="L31" s="42" t="str">
        <x:v>[]</x:v>
      </x:c>
      <x:c r="M31" s="42" t="str">
        <x:v>Labeled Date/Shift/Need format regression check.</x:v>
      </x:c>
      <x:c r="N31" s="42" t="str">
        <x:v>Not Run</x:v>
      </x:c>
      <x:c r="O31" s="42" t="str"/>
      <x:c r="P31" s="42" t="str"/>
      <x:c r="Q31" s="43" t="str"/>
    </x:row>
    <x:row r="32" ht="78" customHeight="1">
      <x:c r="A32" s="41" t="str">
        <x:v>TC-31</x:v>
      </x:c>
      <x:c r="B32" s="42" t="str">
        <x:v>test_parser_v3_regression</x:v>
      </x:c>
      <x:c r="C32" s="42" t="str">
        <x:v>test_v3_split_fields</x:v>
      </x:c>
      <x:c r="D32" s="42" t="str">
        <x:v>Multiline / labeled fields</x:v>
      </x:c>
      <x:c r="E32" s="42" t="str">
        <x:v>NORMAL PARSE</x:v>
      </x:c>
      <x:c r="F32" s="42" t="str"/>
      <x:c r="G32" s="42" t="str">
        <x:v>9/12
11pm-730am
1 LPN
2 STNAs</x:v>
      </x:c>
      <x:c r="H32" s="42" t="n">
        <x:v>2026</x:v>
      </x:c>
      <x:c r="I32" s="42" t="str">
        <x:v>PARSED</x:v>
      </x:c>
      <x:c r="J32" s="42" t="n">
        <x:v>2</x:v>
      </x:c>
      <x:c r="K32" s="42" t="str">
        <x:v>2026-09-12 | 23:00:00 → 07:30:00 | LPN | 1
2026-09-12 | 23:00:00 → 07:30:00 | STNA | 2</x:v>
      </x:c>
      <x:c r="L32" s="42" t="str">
        <x:v>[]</x:v>
      </x:c>
      <x:c r="M32" s="42" t="str">
        <x:v>Fully split multiline format regression check.</x:v>
      </x:c>
      <x:c r="N32" s="42" t="str">
        <x:v>Not Run</x:v>
      </x:c>
      <x:c r="O32" s="42" t="str"/>
      <x:c r="P32" s="42" t="str"/>
      <x:c r="Q32" s="43" t="str"/>
    </x:row>
    <x:row r="33" ht="78" customHeight="1">
      <x:c r="A33" s="41" t="str">
        <x:v>TC-32</x:v>
      </x:c>
      <x:c r="B33" s="42" t="str">
        <x:v>test_parser_v3_regression</x:v>
      </x:c>
      <x:c r="C33" s="42" t="str">
        <x:v>test_v3_natural_to</x:v>
      </x:c>
      <x:c r="D33" s="42" t="str">
        <x:v>Natural language</x:v>
      </x:c>
      <x:c r="E33" s="42" t="str">
        <x:v>NORMAL PARSE</x:v>
      </x:c>
      <x:c r="F33" s="42" t="str"/>
      <x:c r="G33" s="42" t="str">
        <x:v>For 9/12 we need 1 LPN from 11pm to 7:30am.</x:v>
      </x:c>
      <x:c r="H33" s="42" t="n">
        <x:v>2026</x:v>
      </x:c>
      <x:c r="I33" s="42" t="str">
        <x:v>PARSED</x:v>
      </x:c>
      <x:c r="J33" s="42" t="n">
        <x:v>1</x:v>
      </x:c>
      <x:c r="K33" s="42" t="str">
        <x:v>2026-09-12 | 23:00:00 → 07:30:00 | LPN | 1</x:v>
      </x:c>
      <x:c r="L33" s="42" t="str">
        <x:v>[]</x:v>
      </x:c>
      <x:c r="M33" s="42" t="str">
        <x:v>Natural language 'to' format regression check.</x:v>
      </x:c>
      <x:c r="N33" s="42" t="str">
        <x:v>Not Run</x:v>
      </x:c>
      <x:c r="O33" s="42" t="str"/>
      <x:c r="P33" s="42" t="str"/>
      <x:c r="Q33" s="43" t="str"/>
    </x:row>
    <x:row r="34" ht="78" customHeight="1">
      <x:c r="A34" s="41" t="str">
        <x:v>TC-33</x:v>
      </x:c>
      <x:c r="B34" s="42" t="str">
        <x:v>test_parser_v3_regression</x:v>
      </x:c>
      <x:c r="C34" s="42" t="str">
        <x:v>test_v3_natural_until</x:v>
      </x:c>
      <x:c r="D34" s="42" t="str">
        <x:v>Natural language</x:v>
      </x:c>
      <x:c r="E34" s="42" t="str">
        <x:v>NORMAL PARSE</x:v>
      </x:c>
      <x:c r="F34" s="42" t="str"/>
      <x:c r="G34" s="42" t="str">
        <x:v>For 9/12 we need 2 STNAs from 3pm until 11:30pm.</x:v>
      </x:c>
      <x:c r="H34" s="42" t="n">
        <x:v>2026</x:v>
      </x:c>
      <x:c r="I34" s="42" t="str">
        <x:v>PARSED</x:v>
      </x:c>
      <x:c r="J34" s="42" t="n">
        <x:v>1</x:v>
      </x:c>
      <x:c r="K34" s="42" t="str">
        <x:v>2026-09-12 | 15:00:00 → 23:30:00 | STNA | 2</x:v>
      </x:c>
      <x:c r="L34" s="42" t="str">
        <x:v>[]</x:v>
      </x:c>
      <x:c r="M34" s="42" t="str">
        <x:v>Natural language 'until' format regression check.</x:v>
      </x:c>
      <x:c r="N34" s="42" t="str">
        <x:v>Not Run</x:v>
      </x:c>
      <x:c r="O34" s="42" t="str"/>
      <x:c r="P34" s="42" t="str"/>
      <x:c r="Q34" s="43" t="str"/>
    </x:row>
    <x:row r="35" ht="78" customHeight="1">
      <x:c r="A35" s="41" t="str">
        <x:v>TC-34</x:v>
      </x:c>
      <x:c r="B35" s="42" t="str">
        <x:v>test_parser_v3_regression</x:v>
      </x:c>
      <x:c r="C35" s="42" t="str">
        <x:v>test_v3_natural_through</x:v>
      </x:c>
      <x:c r="D35" s="42" t="str">
        <x:v>Natural language</x:v>
      </x:c>
      <x:c r="E35" s="42" t="str">
        <x:v>NORMAL PARSE</x:v>
      </x:c>
      <x:c r="F35" s="42" t="str"/>
      <x:c r="G35" s="42" t="str">
        <x:v>9/12 need 1 LPN from 3pm through 11:30pm</x:v>
      </x:c>
      <x:c r="H35" s="42" t="n">
        <x:v>2026</x:v>
      </x:c>
      <x:c r="I35" s="42" t="str">
        <x:v>PARSED</x:v>
      </x:c>
      <x:c r="J35" s="42" t="n">
        <x:v>1</x:v>
      </x:c>
      <x:c r="K35" s="42" t="str">
        <x:v>2026-09-12 | 15:00:00 → 23:30:00 | LPN | 1</x:v>
      </x:c>
      <x:c r="L35" s="42" t="str">
        <x:v>[]</x:v>
      </x:c>
      <x:c r="M35" s="42" t="str">
        <x:v>Natural language 'through' format must parse.</x:v>
      </x:c>
      <x:c r="N35" s="42" t="str">
        <x:v>Not Run</x:v>
      </x:c>
      <x:c r="O35" s="42" t="str"/>
      <x:c r="P35" s="42" t="str"/>
      <x:c r="Q35" s="43" t="str"/>
    </x:row>
    <x:row r="36" ht="78" customHeight="1">
      <x:c r="A36" s="41" t="str">
        <x:v>TC-35</x:v>
      </x:c>
      <x:c r="B36" s="42" t="str">
        <x:v>test_parser_v3_regression</x:v>
      </x:c>
      <x:c r="C36" s="42" t="str">
        <x:v>test_v3_month_name</x:v>
      </x:c>
      <x:c r="D36" s="42" t="str">
        <x:v>Date parsing</x:v>
      </x:c>
      <x:c r="E36" s="42" t="str">
        <x:v>NORMAL PARSE</x:v>
      </x:c>
      <x:c r="F36" s="42" t="str"/>
      <x:c r="G36" s="42" t="str">
        <x:v>September 12, 2026 from 11pm to 7:30am - need 1 LPN.</x:v>
      </x:c>
      <x:c r="H36" s="42" t="n">
        <x:v>2026</x:v>
      </x:c>
      <x:c r="I36" s="42" t="str">
        <x:v>PARSED</x:v>
      </x:c>
      <x:c r="J36" s="42" t="n">
        <x:v>1</x:v>
      </x:c>
      <x:c r="K36" s="42" t="str">
        <x:v>2026-09-12 | 23:00:00 → 07:30:00 | LPN | 1</x:v>
      </x:c>
      <x:c r="L36" s="42" t="str">
        <x:v>[]</x:v>
      </x:c>
      <x:c r="M36" s="42" t="str">
        <x:v>Month-name date regression check.</x:v>
      </x:c>
      <x:c r="N36" s="42" t="str">
        <x:v>Not Run</x:v>
      </x:c>
      <x:c r="O36" s="42" t="str"/>
      <x:c r="P36" s="42" t="str"/>
      <x:c r="Q36" s="43" t="str"/>
    </x:row>
    <x:row r="37" ht="78" customHeight="1">
      <x:c r="A37" s="41" t="str">
        <x:v>TC-36</x:v>
      </x:c>
      <x:c r="B37" s="42" t="str">
        <x:v>test_parser_v3_regression</x:v>
      </x:c>
      <x:c r="C37" s="42" t="str">
        <x:v>test_v3_short_month_name</x:v>
      </x:c>
      <x:c r="D37" s="42" t="str">
        <x:v>Date parsing</x:v>
      </x:c>
      <x:c r="E37" s="42" t="str">
        <x:v>NORMAL PARSE</x:v>
      </x:c>
      <x:c r="F37" s="42" t="str"/>
      <x:c r="G37" s="42" t="str">
        <x:v>Sep 12 from 3pm to 11:30pm: 1 LPN</x:v>
      </x:c>
      <x:c r="H37" s="42" t="n">
        <x:v>2026</x:v>
      </x:c>
      <x:c r="I37" s="42" t="str">
        <x:v>PARSED</x:v>
      </x:c>
      <x:c r="J37" s="42" t="n">
        <x:v>1</x:v>
      </x:c>
      <x:c r="K37" s="42" t="str">
        <x:v>2026-09-12 | 15:00:00 → 23:30:00 | LPN | 1</x:v>
      </x:c>
      <x:c r="L37" s="42" t="str">
        <x:v>[]</x:v>
      </x:c>
      <x:c r="M37" s="42" t="str">
        <x:v>Short month-name date regression check.</x:v>
      </x:c>
      <x:c r="N37" s="42" t="str">
        <x:v>Not Run</x:v>
      </x:c>
      <x:c r="O37" s="42" t="str"/>
      <x:c r="P37" s="42" t="str"/>
      <x:c r="Q37" s="43" t="str"/>
    </x:row>
    <x:row r="38" ht="78" customHeight="1">
      <x:c r="A38" s="41" t="str">
        <x:v>TC-37</x:v>
      </x:c>
      <x:c r="B38" s="42" t="str">
        <x:v>test_parser_v3_regression</x:v>
      </x:c>
      <x:c r="C38" s="42" t="str">
        <x:v>test_v3_role_colon_count</x:v>
      </x:c>
      <x:c r="D38" s="42" t="str">
        <x:v>Role / count syntax</x:v>
      </x:c>
      <x:c r="E38" s="42" t="str">
        <x:v>NORMAL PARSE</x:v>
      </x:c>
      <x:c r="F38" s="42" t="str"/>
      <x:c r="G38" s="42" t="str">
        <x:v>9/12 11pm-730am Need: LPN: 1, STNA: 2</x:v>
      </x:c>
      <x:c r="H38" s="42" t="n">
        <x:v>2026</x:v>
      </x:c>
      <x:c r="I38" s="42" t="str">
        <x:v>PARSED</x:v>
      </x:c>
      <x:c r="J38" s="42" t="n">
        <x:v>2</x:v>
      </x:c>
      <x:c r="K38" s="42" t="str">
        <x:v>2026-09-12 | 23:00:00 → 07:30:00 | LPN | 1
2026-09-12 | 23:00:00 → 07:30:00 | STNA | 2</x:v>
      </x:c>
      <x:c r="L38" s="42" t="str">
        <x:v>[]</x:v>
      </x:c>
      <x:c r="M38" s="42" t="str">
        <x:v>Role: count regression check.</x:v>
      </x:c>
      <x:c r="N38" s="42" t="str">
        <x:v>Not Run</x:v>
      </x:c>
      <x:c r="O38" s="42" t="str"/>
      <x:c r="P38" s="42" t="str"/>
      <x:c r="Q38" s="43" t="str"/>
    </x:row>
    <x:row r="39" ht="78" customHeight="1">
      <x:c r="A39" s="41" t="str">
        <x:v>TC-38</x:v>
      </x:c>
      <x:c r="B39" s="42" t="str">
        <x:v>test_parser_v3_regression</x:v>
      </x:c>
      <x:c r="C39" s="42" t="str">
        <x:v>test_v3_role_x_count</x:v>
      </x:c>
      <x:c r="D39" s="42" t="str">
        <x:v>Role / count syntax</x:v>
      </x:c>
      <x:c r="E39" s="42" t="str">
        <x:v>NORMAL PARSE</x:v>
      </x:c>
      <x:c r="F39" s="42" t="str"/>
      <x:c r="G39" s="42" t="str">
        <x:v>9/12 11pm-730am LPN x 1, STNA x 2</x:v>
      </x:c>
      <x:c r="H39" s="42" t="n">
        <x:v>2026</x:v>
      </x:c>
      <x:c r="I39" s="42" t="str">
        <x:v>PARSED</x:v>
      </x:c>
      <x:c r="J39" s="42" t="n">
        <x:v>2</x:v>
      </x:c>
      <x:c r="K39" s="42" t="str">
        <x:v>2026-09-12 | 23:00:00 → 07:30:00 | LPN | 1
2026-09-12 | 23:00:00 → 07:30:00 | STNA | 2</x:v>
      </x:c>
      <x:c r="L39" s="42" t="str">
        <x:v>[]</x:v>
      </x:c>
      <x:c r="M39" s="42" t="str">
        <x:v>Role x count regression check.</x:v>
      </x:c>
      <x:c r="N39" s="42" t="str">
        <x:v>Not Run</x:v>
      </x:c>
      <x:c r="O39" s="42" t="str"/>
      <x:c r="P39" s="42" t="str"/>
      <x:c r="Q39" s="43" t="str"/>
    </x:row>
    <x:row r="40" ht="78" customHeight="1">
      <x:c r="A40" s="41" t="str">
        <x:v>TC-39</x:v>
      </x:c>
      <x:c r="B40" s="42" t="str">
        <x:v>test_parser_v3_regression</x:v>
      </x:c>
      <x:c r="C40" s="42" t="str">
        <x:v>test_v3_count_x_role</x:v>
      </x:c>
      <x:c r="D40" s="42" t="str">
        <x:v>Role / count syntax</x:v>
      </x:c>
      <x:c r="E40" s="42" t="str">
        <x:v>NORMAL PARSE</x:v>
      </x:c>
      <x:c r="F40" s="42" t="str"/>
      <x:c r="G40" s="42" t="str">
        <x:v>9/12 11pm-730am 1x LPN, 2x STNA</x:v>
      </x:c>
      <x:c r="H40" s="42" t="n">
        <x:v>2026</x:v>
      </x:c>
      <x:c r="I40" s="42" t="str">
        <x:v>PARSED</x:v>
      </x:c>
      <x:c r="J40" s="42" t="n">
        <x:v>2</x:v>
      </x:c>
      <x:c r="K40" s="42" t="str">
        <x:v>2026-09-12 | 23:00:00 → 07:30:00 | LPN | 1
2026-09-12 | 23:00:00 → 07:30:00 | STNA | 2</x:v>
      </x:c>
      <x:c r="L40" s="42" t="str">
        <x:v>[]</x:v>
      </x:c>
      <x:c r="M40" s="42" t="str">
        <x:v>Count x role regression check.</x:v>
      </x:c>
      <x:c r="N40" s="42" t="str">
        <x:v>Not Run</x:v>
      </x:c>
      <x:c r="O40" s="42" t="str"/>
      <x:c r="P40" s="42" t="str"/>
      <x:c r="Q40" s="43" t="str"/>
    </x:row>
    <x:row r="41" ht="78" customHeight="1">
      <x:c r="A41" s="41" t="str">
        <x:v>TC-40</x:v>
      </x:c>
      <x:c r="B41" s="42" t="str">
        <x:v>test_parser_v3_regression</x:v>
      </x:c>
      <x:c r="C41" s="42" t="str">
        <x:v>test_v3_bullets</x:v>
      </x:c>
      <x:c r="D41" s="42" t="str">
        <x:v>Bullets / list format</x:v>
      </x:c>
      <x:c r="E41" s="42" t="str">
        <x:v>NORMAL PARSE</x:v>
      </x:c>
      <x:c r="F41" s="42" t="str"/>
      <x:c r="G41" s="42" t="str">
        <x:v>Open needs:
- 9/12 (11pm-730am) 1 LPN
- 9/13 (3pm-1130pm) 2 STNAs</x:v>
      </x:c>
      <x:c r="H41" s="42" t="n">
        <x:v>2026</x:v>
      </x:c>
      <x:c r="I41" s="42" t="str">
        <x:v>PARSED</x:v>
      </x:c>
      <x:c r="J41" s="42" t="n">
        <x:v>2</x:v>
      </x:c>
      <x:c r="K41" s="42" t="str">
        <x:v>2026-09-12 | 23:00:00 → 07:30:00 | LPN | 1
2026-09-13 | 15:00:00 → 23:30:00 | STNA | 2</x:v>
      </x:c>
      <x:c r="L41" s="42" t="str">
        <x:v>[]</x:v>
      </x:c>
      <x:c r="M41" s="42" t="str">
        <x:v>Bullet format regression check.</x:v>
      </x:c>
      <x:c r="N41" s="42" t="str">
        <x:v>Not Run</x:v>
      </x:c>
      <x:c r="O41" s="42" t="str"/>
      <x:c r="P41" s="42" t="str"/>
      <x:c r="Q41" s="43" t="str"/>
    </x:row>
    <x:row r="42" ht="78" customHeight="1">
      <x:c r="A42" s="41" t="str">
        <x:v>TC-41</x:v>
      </x:c>
      <x:c r="B42" s="42" t="str">
        <x:v>test_parser_v3_regression</x:v>
      </x:c>
      <x:c r="C42" s="42" t="str">
        <x:v>test_v3_office_hours_are_noise</x:v>
      </x:c>
      <x:c r="D42" s="42" t="str">
        <x:v>Paragraph / noise handling</x:v>
      </x:c>
      <x:c r="E42" s="42" t="str">
        <x:v>NORMAL PARSE</x:v>
      </x:c>
      <x:c r="F42" s="42" t="str"/>
      <x:c r="G42" s="42" t="str">
        <x:v>Please call before 4pm.
9/12 (11pm-730am) 1 LPN
Office hours are 8am-5pm.</x:v>
      </x:c>
      <x:c r="H42" s="42" t="n">
        <x:v>2026</x:v>
      </x:c>
      <x:c r="I42" s="42" t="str">
        <x:v>PARSED</x:v>
      </x:c>
      <x:c r="J42" s="42" t="n">
        <x:v>1</x:v>
      </x:c>
      <x:c r="K42" s="42" t="str">
        <x:v>2026-09-12 | 23:00:00 → 07:30:00 | LPN | 1</x:v>
      </x:c>
      <x:c r="L42" s="42" t="str">
        <x:v>[]</x:v>
      </x:c>
      <x:c r="M42" s="42" t="str">
        <x:v>Office/call times must not create extra shifts.</x:v>
      </x:c>
      <x:c r="N42" s="42" t="str">
        <x:v>Not Run</x:v>
      </x:c>
      <x:c r="O42" s="42" t="str"/>
      <x:c r="P42" s="42" t="str"/>
      <x:c r="Q42" s="43" t="str"/>
    </x:row>
    <x:row r="43" ht="78" customHeight="1">
      <x:c r="A43" s="41" t="str">
        <x:v>TC-42</x:v>
      </x:c>
      <x:c r="B43" s="42" t="str">
        <x:v>test_parser_v3_regression</x:v>
      </x:c>
      <x:c r="C43" s="42" t="str">
        <x:v>test_v3_overnight_is_valid_not_review</x:v>
      </x:c>
      <x:c r="D43" s="42" t="str">
        <x:v>Overnight shift</x:v>
      </x:c>
      <x:c r="E43" s="42" t="str">
        <x:v>NORMAL PARSE</x:v>
      </x:c>
      <x:c r="F43" s="42" t="str"/>
      <x:c r="G43" s="42" t="str">
        <x:v>9/12 (11pm-730am) 1 LPN</x:v>
      </x:c>
      <x:c r="H43" s="42" t="n">
        <x:v>2026</x:v>
      </x:c>
      <x:c r="I43" s="42" t="str">
        <x:v>PARSED</x:v>
      </x:c>
      <x:c r="J43" s="42" t="n">
        <x:v>1</x:v>
      </x:c>
      <x:c r="K43" s="42" t="str">
        <x:v>2026-09-12 | 23:00:00 → 07:30:00 | LPN | 1</x:v>
      </x:c>
      <x:c r="L43" s="42" t="str">
        <x:v>[]</x:v>
      </x:c>
      <x:c r="M43" s="42" t="str">
        <x:v>11pm→7:30am is valid overnight; status stays PARSED and shift_date is start date.</x:v>
      </x:c>
      <x:c r="N43" s="42" t="str">
        <x:v>Not Run</x:v>
      </x:c>
      <x:c r="O43" s="42" t="str"/>
      <x:c r="P43" s="42" t="str"/>
      <x:c r="Q43" s="43" t="str"/>
    </x:row>
    <x:row r="44" ht="78" customHeight="1">
      <x:c r="A44" s="41" t="str">
        <x:v>TC-43</x:v>
      </x:c>
      <x:c r="B44" s="42" t="str">
        <x:v>test_parser_v3_regression</x:v>
      </x:c>
      <x:c r="C44" s="42" t="str">
        <x:v>test_v3_reporting_override</x:v>
      </x:c>
      <x:c r="D44" s="42" t="str">
        <x:v>Reporting override</x:v>
      </x:c>
      <x:c r="E44" s="42" t="str">
        <x:v>NORMAL PARSE</x:v>
      </x:c>
      <x:c r="F44" s="42" t="str"/>
      <x:c r="G44" s="42" t="str">
        <x:v>9/14 (11pm-730am) 1 LPN.
(3am-730am) 1 LPN-reporting 9/15 at 3am</x:v>
      </x:c>
      <x:c r="H44" s="42" t="n">
        <x:v>2026</x:v>
      </x:c>
      <x:c r="I44" s="42" t="str">
        <x:v>PARSED</x:v>
      </x:c>
      <x:c r="J44" s="42" t="n">
        <x:v>2</x:v>
      </x:c>
      <x:c r="K44" s="42" t="str">
        <x:v>2026-09-14 | 23:00:00 → 07:30:00 | LPN | 1
2026-09-15 | 03:00:00 → 07:30:00 | LPN | 1</x:v>
      </x:c>
      <x:c r="L44" s="42" t="str">
        <x:v>[]</x:v>
      </x:c>
      <x:c r="M44" s="42" t="str">
        <x:v>Reporting override regression: second shift date 2026-09-15 at 03:00.</x:v>
      </x:c>
      <x:c r="N44" s="42" t="str">
        <x:v>Not Run</x:v>
      </x:c>
      <x:c r="O44" s="42" t="str"/>
      <x:c r="P44" s="42" t="str"/>
      <x:c r="Q44" s="43" t="str"/>
    </x:row>
    <x:row r="45" ht="78" customHeight="1">
      <x:c r="A45" s="41" t="str">
        <x:v>TC-44</x:v>
      </x:c>
      <x:c r="B45" s="42" t="str">
        <x:v>test_parser_v3_regression</x:v>
      </x:c>
      <x:c r="C45" s="42" t="str">
        <x:v>test_v3_incomplete_structured_block</x:v>
      </x:c>
      <x:c r="D45" s="42" t="str">
        <x:v>NEEDS_REVIEW / incomplete</x:v>
      </x:c>
      <x:c r="E45" s="42" t="str">
        <x:v>MUST REVIEW</x:v>
      </x:c>
      <x:c r="F45" s="42" t="str"/>
      <x:c r="G45" s="42" t="str">
        <x:v>Date: 9/12
Need: 2 LPNs</x:v>
      </x:c>
      <x:c r="H45" s="42" t="n">
        <x:v>2026</x:v>
      </x:c>
      <x:c r="I45" s="42" t="str">
        <x:v>NEEDS_REVIEW</x:v>
      </x:c>
      <x:c r="J45" s="42" t="n">
        <x:v>0</x:v>
      </x:c>
      <x:c r="K45" s="42" t="str"/>
      <x:c r="L45" s="42" t="str">
        <x:v>End of email: incomplete staffing block: Date: 9/12 | Need: 2 LPNs</x:v>
      </x:c>
      <x:c r="M45" s="42" t="str">
        <x:v>Missing Shift field must return NEEDS_REVIEW and no invented time.</x:v>
      </x:c>
      <x:c r="N45" s="42" t="str">
        <x:v>Not Run</x:v>
      </x:c>
      <x:c r="O45" s="42" t="str"/>
      <x:c r="P45" s="42" t="str"/>
      <x:c r="Q45" s="43" t="str"/>
    </x:row>
    <x:row r="46" ht="78" customHeight="1">
      <x:c r="A46" s="41" t="str">
        <x:v>TC-45</x:v>
      </x:c>
      <x:c r="B46" s="42" t="str">
        <x:v>test_parser_v3_regression</x:v>
      </x:c>
      <x:c r="C46" s="42" t="str">
        <x:v>test_v3_partial_parse_keeps_valid_shift</x:v>
      </x:c>
      <x:c r="D46" s="42" t="str">
        <x:v>NEEDS_REVIEW / incomplete</x:v>
      </x:c>
      <x:c r="E46" s="42" t="str">
        <x:v>MUST REVIEW</x:v>
      </x:c>
      <x:c r="F46" s="42" t="str"/>
      <x:c r="G46" s="42" t="str">
        <x:v>9/12 (11pm-730am) 1 LPN
Date: 9/13
Need: 2 STNAs</x:v>
      </x:c>
      <x:c r="H46" s="42" t="n">
        <x:v>2026</x:v>
      </x:c>
      <x:c r="I46" s="42" t="str">
        <x:v>NEEDS_REVIEW</x:v>
      </x:c>
      <x:c r="J46" s="42" t="n">
        <x:v>1</x:v>
      </x:c>
      <x:c r="K46" s="42" t="str">
        <x:v>2026-09-12 | 23:00:00 → 07:30:00 | LPN | 1</x:v>
      </x:c>
      <x:c r="L46" s="42" t="str">
        <x:v>End of email: incomplete staffing block: Date: 9/13 | Need: 2 STNAs</x:v>
      </x:c>
      <x:c r="M46" s="42" t="str">
        <x:v>Keep valid 9/12 LPN shift, but overall status NEEDS_REVIEW for incomplete 9/13 STNA block.</x:v>
      </x:c>
      <x:c r="N46" s="42" t="str">
        <x:v>Not Run</x:v>
      </x:c>
      <x:c r="O46" s="42" t="str"/>
      <x:c r="P46" s="42" t="str"/>
      <x:c r="Q46" s="43" t="str"/>
    </x:row>
    <x:row r="47" ht="78" customHeight="1">
      <x:c r="A47" s="41" t="str">
        <x:v>TC-46</x:v>
      </x:c>
      <x:c r="B47" s="42" t="str">
        <x:v>test_parser_v3_regression</x:v>
      </x:c>
      <x:c r="C47" s="42" t="str">
        <x:v>test_v3_unknown_role_not_invented</x:v>
      </x:c>
      <x:c r="D47" s="42" t="str">
        <x:v>Scope guard</x:v>
      </x:c>
      <x:c r="E47" s="42" t="str">
        <x:v>OUT OF SCOPE GUARD</x:v>
      </x:c>
      <x:c r="F47" s="42" t="str"/>
      <x:c r="G47" s="42" t="str">
        <x:v>9/12 (11pm-730am) 2 CNAs</x:v>
      </x:c>
      <x:c r="H47" s="42" t="n">
        <x:v>2026</x:v>
      </x:c>
      <x:c r="I47" s="42" t="str">
        <x:v>PARSED</x:v>
      </x:c>
      <x:c r="J47" s="42" t="n">
        <x:v>0</x:v>
      </x:c>
      <x:c r="K47" s="42" t="str"/>
      <x:c r="L47" s="42" t="str">
        <x:v>[]</x:v>
      </x:c>
      <x:c r="M47" s="42" t="str">
        <x:v>CNA is outside agreed scope. Confirm parser invents no LPN/STNA shift; do not map CNA.</x:v>
      </x:c>
      <x:c r="N47" s="42" t="str">
        <x:v>Not Run</x:v>
      </x:c>
      <x:c r="O47" s="42" t="str"/>
      <x:c r="P47" s="42" t="str"/>
      <x:c r="Q47" s="43" t="str"/>
    </x:row>
    <x:row r="48" ht="78" customHeight="1">
      <x:c r="A48" s="41" t="str">
        <x:v>TC-47</x:v>
      </x:c>
      <x:c r="B48" s="42" t="str">
        <x:v>test_parser_v3_regression</x:v>
      </x:c>
      <x:c r="C48" s="42" t="str">
        <x:v>test_v3_source_content_preserved</x:v>
      </x:c>
      <x:c r="D48" s="42" t="str">
        <x:v>Source preservation</x:v>
      </x:c>
      <x:c r="E48" s="42" t="str">
        <x:v>PRESERVATION</x:v>
      </x:c>
      <x:c r="F48" s="42" t="str">
        <x:v>S</x:v>
      </x:c>
      <x:c r="G48" s="42" t="str">
        <x:v>Hello
9/12 (11pm-730am) 1 LPN
Thanks</x:v>
      </x:c>
      <x:c r="H48" s="42" t="n">
        <x:v>2026</x:v>
      </x:c>
      <x:c r="I48" s="42" t="str">
        <x:v>PARSED</x:v>
      </x:c>
      <x:c r="J48" s="42" t="n">
        <x:v>1</x:v>
      </x:c>
      <x:c r="K48" s="42" t="str">
        <x:v>2026-09-12 | 23:00:00 → 07:30:00 | LPN | 1</x:v>
      </x:c>
      <x:c r="L48" s="42" t="str">
        <x:v>[]</x:v>
      </x:c>
      <x:c r="M48" s="42" t="str">
        <x:v>source_content must exactly preserve pasted body and line breaks.</x:v>
      </x:c>
      <x:c r="N48" s="42" t="str">
        <x:v>Not Run</x:v>
      </x:c>
      <x:c r="O48" s="42" t="str"/>
      <x:c r="P48" s="42" t="str"/>
      <x:c r="Q48" s="43" t="str"/>
    </x:row>
    <x:row r="49" ht="78" customHeight="1">
      <x:c r="A49" s="41" t="str">
        <x:v>TC-48</x:v>
      </x:c>
      <x:c r="B49" s="42" t="str">
        <x:v>test_parser_v3_regression</x:v>
      </x:c>
      <x:c r="C49" s="42" t="str">
        <x:v>test_v3_multiple_date_blocks</x:v>
      </x:c>
      <x:c r="D49" s="42" t="str">
        <x:v>Date carry-forward / multi-date</x:v>
      </x:c>
      <x:c r="E49" s="42" t="str">
        <x:v>NORMAL PARSE</x:v>
      </x:c>
      <x:c r="F49" s="42" t="str"/>
      <x:c r="G49" s="42" t="str">
        <x:v>9/12
11pm-730am 1 LPN
3pm-11pm 2 STNAs
9/13
7am-330pm 3 STNAs</x:v>
      </x:c>
      <x:c r="H49" s="42" t="n">
        <x:v>2026</x:v>
      </x:c>
      <x:c r="I49" s="42" t="str">
        <x:v>PARSED</x:v>
      </x:c>
      <x:c r="J49" s="42" t="n">
        <x:v>3</x:v>
      </x:c>
      <x:c r="K49" s="42" t="str">
        <x:v>2026-09-12 | 23:00:00 → 07:30:00 | LPN | 1
2026-09-12 | 15:00:00 → 23:00:00 | STNA | 2
2026-09-13 | 07:00:00 → 15:30:00 | STNA | 3</x:v>
      </x:c>
      <x:c r="L49" s="42" t="str">
        <x:v>[]</x:v>
      </x:c>
      <x:c r="M49" s="42" t="str">
        <x:v>Carry date context across multiple blocks; expect 2 shifts on 9/12 and 1 on 9/13.</x:v>
      </x:c>
      <x:c r="N49" s="42" t="str">
        <x:v>Not Run</x:v>
      </x:c>
      <x:c r="O49" s="42" t="str"/>
      <x:c r="P49" s="42" t="str"/>
      <x:c r="Q49" s="43" t="str"/>
    </x:row>
    <x:row r="50" ht="78" customHeight="1">
      <x:c r="A50" s="41" t="str">
        <x:v>TC-49</x:v>
      </x:c>
      <x:c r="B50" s="42" t="str">
        <x:v>test_parser_v3_regression</x:v>
      </x:c>
      <x:c r="C50" s="42" t="str">
        <x:v>test_v3_24_hour_time</x:v>
      </x:c>
      <x:c r="D50" s="42" t="str">
        <x:v>Time parsing</x:v>
      </x:c>
      <x:c r="E50" s="42" t="str">
        <x:v>NORMAL PARSE</x:v>
      </x:c>
      <x:c r="F50" s="42" t="str"/>
      <x:c r="G50" s="42" t="str">
        <x:v>9/12 15:00-23:30 1 LPN</x:v>
      </x:c>
      <x:c r="H50" s="42" t="n">
        <x:v>2026</x:v>
      </x:c>
      <x:c r="I50" s="42" t="str">
        <x:v>PARSED</x:v>
      </x:c>
      <x:c r="J50" s="42" t="n">
        <x:v>1</x:v>
      </x:c>
      <x:c r="K50" s="42" t="str">
        <x:v>2026-09-12 | 15:00:00 → 23:30:00 | LPN | 1</x:v>
      </x:c>
      <x:c r="L50" s="42" t="str">
        <x:v>[]</x:v>
      </x:c>
      <x:c r="M50" s="42" t="str">
        <x:v>24-hour 15:00-23:30 must normalize correctly.</x:v>
      </x:c>
      <x:c r="N50" s="42" t="str">
        <x:v>Not Run</x:v>
      </x:c>
      <x:c r="O50" s="42" t="str"/>
      <x:c r="P50" s="42" t="str"/>
      <x:c r="Q50" s="43" t="str"/>
    </x:row>
    <x:row r="51" ht="78" customHeight="1">
      <x:c r="A51" s="41" t="str">
        <x:v>TC-50</x:v>
      </x:c>
      <x:c r="B51" s="42" t="str">
        <x:v>test_parser_v3_regression</x:v>
      </x:c>
      <x:c r="C51" s="42" t="str">
        <x:v>test_v3_short_ap</x:v>
      </x:c>
      <x:c r="D51" s="42" t="str">
        <x:v>Time parsing</x:v>
      </x:c>
      <x:c r="E51" s="42" t="str">
        <x:v>NORMAL PARSE</x:v>
      </x:c>
      <x:c r="F51" s="42" t="str"/>
      <x:c r="G51" s="42" t="str">
        <x:v>9/12 11p-7:30a 1 LPN</x:v>
      </x:c>
      <x:c r="H51" s="42" t="n">
        <x:v>2026</x:v>
      </x:c>
      <x:c r="I51" s="42" t="str">
        <x:v>PARSED</x:v>
      </x:c>
      <x:c r="J51" s="42" t="n">
        <x:v>1</x:v>
      </x:c>
      <x:c r="K51" s="42" t="str">
        <x:v>2026-09-12 | 23:00:00 → 07:30:00 | LPN | 1</x:v>
      </x:c>
      <x:c r="L51" s="42" t="str">
        <x:v>[]</x:v>
      </x:c>
      <x:c r="M51" s="42" t="str">
        <x:v>Short a/p suffixes 11p and 7:30a must normalize correctly.</x:v>
      </x:c>
      <x:c r="N51" s="42" t="str">
        <x:v>Not Run</x:v>
      </x:c>
      <x:c r="O51" s="42" t="str"/>
      <x:c r="P51" s="42" t="str"/>
      <x:c r="Q51" s="43" t="str"/>
    </x:row>
    <x:row r="52" ht="78" customHeight="1">
      <x:c r="A52" s="41" t="str">
        <x:v>TC-51</x:v>
      </x:c>
      <x:c r="B52" s="42" t="str">
        <x:v>test_parser_v3_regression</x:v>
      </x:c>
      <x:c r="C52" s="42" t="str">
        <x:v>test_v3_full_year_numeric</x:v>
      </x:c>
      <x:c r="D52" s="42" t="str">
        <x:v>Date parsing</x:v>
      </x:c>
      <x:c r="E52" s="42" t="str">
        <x:v>NORMAL PARSE</x:v>
      </x:c>
      <x:c r="F52" s="42" t="str"/>
      <x:c r="G52" s="42" t="str">
        <x:v>9/12/2026 11pm-730am 1 LPN</x:v>
      </x:c>
      <x:c r="H52" s="42" t="n">
        <x:v>2026</x:v>
      </x:c>
      <x:c r="I52" s="42" t="str">
        <x:v>PARSED</x:v>
      </x:c>
      <x:c r="J52" s="42" t="n">
        <x:v>1</x:v>
      </x:c>
      <x:c r="K52" s="42" t="str">
        <x:v>2026-09-12 | 23:00:00 → 07:30:00 | LPN | 1</x:v>
      </x:c>
      <x:c r="L52" s="42" t="str">
        <x:v>[]</x:v>
      </x:c>
      <x:c r="M52" s="42" t="str">
        <x:v>Full numeric date with year must resolve to 2026-09-12.</x:v>
      </x:c>
      <x:c r="N52" s="42" t="str">
        <x:v>Not Run</x:v>
      </x:c>
      <x:c r="O52" s="42" t="str"/>
      <x:c r="P52" s="42" t="str"/>
      <x:c r="Q52" s="43" t="str"/>
    </x:row>
    <x:row r="53" ht="78" customHeight="1">
      <x:c r="A53" s="44" t="str">
        <x:v>TC-52</x:v>
      </x:c>
      <x:c r="B53" s="45" t="str">
        <x:v>test_parser_v3_regression</x:v>
      </x:c>
      <x:c r="C53" s="45" t="str">
        <x:v>test_v3_dash_date</x:v>
      </x:c>
      <x:c r="D53" s="45" t="str">
        <x:v>Date parsing</x:v>
      </x:c>
      <x:c r="E53" s="45" t="str">
        <x:v>NORMAL PARSE</x:v>
      </x:c>
      <x:c r="F53" s="45" t="str"/>
      <x:c r="G53" s="45" t="str">
        <x:v>9-12-2026 11pm-730am 1 LPN</x:v>
      </x:c>
      <x:c r="H53" s="45" t="n">
        <x:v>2026</x:v>
      </x:c>
      <x:c r="I53" s="45" t="str">
        <x:v>PARSED</x:v>
      </x:c>
      <x:c r="J53" s="45" t="n">
        <x:v>1</x:v>
      </x:c>
      <x:c r="K53" s="45" t="str">
        <x:v>2026-09-12 | 23:00:00 → 07:30:00 | LPN | 1</x:v>
      </x:c>
      <x:c r="L53" s="45" t="str">
        <x:v>[]</x:v>
      </x:c>
      <x:c r="M53" s="45" t="str">
        <x:v>Dash date with year regression check.</x:v>
      </x:c>
      <x:c r="N53" s="45" t="str">
        <x:v>Not Run</x:v>
      </x:c>
      <x:c r="O53" s="45" t="str"/>
      <x:c r="P53" s="45" t="str"/>
      <x:c r="Q53" s="46" t="str"/>
    </x:row>
  </x:sheetData>
  <x:conditionalFormatting sqref="N2:N53">
    <x:cfRule type="expression" dxfId="0" priority="1">
      <x:formula>N2="Pass"</x:formula>
    </x:cfRule>
    <x:cfRule type="expression" dxfId="1" priority="2">
      <x:formula>N2="Fail"</x:formula>
    </x:cfRule>
    <x:cfRule type="expression" dxfId="2" priority="3">
      <x:formula>N2="Blocked"</x:formula>
    </x:cfRule>
    <x:cfRule type="expression" dxfId="3" priority="4">
      <x:formula>N2="Not Run"</x:formula>
    </x:cfRule>
  </x:conditionalFormatting>
  <x:conditionalFormatting sqref="E2:E53">
    <x:cfRule type="expression" dxfId="4" priority="5">
      <x:formula>E2="MUST REVIEW"</x:formula>
    </x:cfRule>
    <x:cfRule type="expression" dxfId="5" priority="6">
      <x:formula>E2="OUT OF SCOPE GUARD"</x:formula>
    </x:cfRule>
  </x:conditionalFormatting>
  <x:conditionalFormatting sqref="I2:I53">
    <x:cfRule type="expression" dxfId="6" priority="7">
      <x:formula>I2="NEEDS_REVIEW"</x:formula>
    </x:cfRule>
  </x:conditionalFormatting>
  <x:dataValidations count="1">
    <x:dataValidation type="list" sqref="N2:N53">
      <x:formula1>"Not Run,Pass,Fail,Blocked"</x:formula1>
    </x:dataValidation>
  </x:dataValidations>
  <x:pageMargins left="0.7" right="0.7" top="0.75" bottom="0.75" header="0.3" footer="0.3"/>
  <x:tableParts count="1">
    <x:tablePart xmlns:r="http://schemas.openxmlformats.org/officeDocument/2006/relationships" r:id="R0348fd07690d4c3c"/>
  </x:tableParts>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28" hidden="0" customWidth="1"/>
    <x:col min="4" max="4" width="58" hidden="0" customWidth="1"/>
    <x:col min="5" max="5" width="18" hidden="0" customWidth="1"/>
    <x:col min="6" max="6" width="20" hidden="0" customWidth="1"/>
    <x:col min="7" max="7" width="48" hidden="0" customWidth="1"/>
    <x:col min="8" max="8" width="14" hidden="0" customWidth="1"/>
    <x:col min="9" max="9" width="40" hidden="0" customWidth="1"/>
  </x:cols>
  <x:sheetData>
    <x:row r="1">
      <x:c r="A1" s="12" t="str">
        <x:v>Scenario ID</x:v>
      </x:c>
      <x:c r="B1" s="13" t="str">
        <x:v>Scenario Name</x:v>
      </x:c>
      <x:c r="C1" s="13" t="str">
        <x:v>Category</x:v>
      </x:c>
      <x:c r="D1" s="13" t="str">
        <x:v>Sample Input — copy/paste</x:v>
      </x:c>
      <x:c r="E1" s="13" t="str">
        <x:v>Expected Status</x:v>
      </x:c>
      <x:c r="F1" s="13" t="str">
        <x:v>Expected Shift Count</x:v>
      </x:c>
      <x:c r="G1" s="13" t="str">
        <x:v>Key Checks</x:v>
      </x:c>
      <x:c r="H1" s="13" t="str">
        <x:v>Manual Result</x:v>
      </x:c>
      <x:c r="I1" s="14" t="str">
        <x:v>Actual Notes</x:v>
      </x:c>
    </x:row>
    <x:row r="2" ht="120" customHeight="1">
      <x:c r="A2" s="41" t="str">
        <x:v>M1</x:v>
      </x:c>
      <x:c r="B2" s="42" t="str">
        <x:v>Reporting-heavy paragraph</x:v>
      </x:c>
      <x:c r="C2" s="42" t="str">
        <x:v>Reporting + paragraph stress</x:v>
      </x:c>
      <x:c r="D2" s="42" t="str">
        <x:v>Good morning Kelly,
Please review the following open needs. Some of the overnight coverage begins after midnight and should be reported using the explicit reporting date/time shown below.
9/14 (11pm-730am) 1 LPN.
(3am-730am) 1 LPN-reporting 9/15 at 3am
9/15 (3am-730am) 1 LPN-reporting 9/16 at 3am
9/16 (3am-730am) 1 LPN-reporting 9/17 at 3am
9/18 (11pm-730am) 1 STNA.
(3am-730am) 1 STNA-reporting 9/19 at 3am
Please confirm availability.
Thank you,
Staffing Team</x:v>
      </x:c>
      <x:c r="E2" s="42" t="str">
        <x:v>PARSED</x:v>
      </x:c>
      <x:c r="F2" s="42" t="n">
        <x:v>6</x:v>
      </x:c>
      <x:c r="G2" s="42" t="str">
        <x:v>All reporting dates/times override inherited context; expect dates 9/14, 9/15, 9/16, 9/17, 9/18, 9/19.</x:v>
      </x:c>
      <x:c r="H2" s="42" t="str">
        <x:v>Not Run</x:v>
      </x:c>
      <x:c r="I2" s="43" t="str"/>
    </x:row>
    <x:row r="3" ht="120" customHeight="1">
      <x:c r="A3" s="41" t="str">
        <x:v>M2</x:v>
      </x:c>
      <x:c r="B3" s="42" t="str">
        <x:v>Big paragraph + multiple shifts</x:v>
      </x:c>
      <x:c r="C3" s="42" t="str">
        <x:v>Paragraph + multi-shift stress</x:v>
      </x:c>
      <x:c r="D3" s="42" t="str">
        <x:v>Good morning Kelly,
Please review the open staffing requirements for the upcoming dates. We currently have both LPN and STNA coverage needs. Please confirm whichever shifts can be supported.
9/12 (7pm-1130pm) 2 STNAs
9/12 (11pm-730am) 1 LPN, 2 STNAs
9/13 (3pm-1130pm) 4 STNAs. (7pm-1130pm) 2 STNAs
9/13 (11pm-730am) 6 LPNs
Please let us know if these requirements can be covered.
Thank you,
Staffing Team</x:v>
      </x:c>
      <x:c r="E3" s="42" t="str">
        <x:v>PARSED</x:v>
      </x:c>
      <x:c r="F3" s="42" t="n">
        <x:v>6</x:v>
      </x:c>
      <x:c r="G3" s="42" t="str">
        <x:v>Ignore prose; split mixed LPN/STNA and multiple same-line shifts.</x:v>
      </x:c>
      <x:c r="H3" s="42" t="str">
        <x:v>Not Run</x:v>
      </x:c>
      <x:c r="I3" s="43" t="str"/>
    </x:row>
    <x:row r="4" ht="120" customHeight="1">
      <x:c r="A4" s="41" t="str">
        <x:v>M3</x:v>
      </x:c>
      <x:c r="B4" s="42" t="str">
        <x:v>Mixed-format paragraph stress</x:v>
      </x:c>
      <x:c r="C4" s="42" t="str">
        <x:v>Mixed format stress</x:v>
      </x:c>
      <x:c r="D4" s="42" t="str">
        <x:v>Good morning Kelly,
Please review the following staffing requirements. We currently have both LPN and STNA needs for the week.
9/14 (11pm-730am) 1 LPN.
(3am-730am) 1 LPN-reporting 9/15 at 3am
For September 16, we need 2 STNAs from 3pm to 11:30pm.
Please call me before 4pm if you have any questions.
Office hours are 8am-5pm.
9/18 (11pm-730am) 1 STNA.
Thank you,
Staffing Team</x:v>
      </x:c>
      <x:c r="E4" s="42" t="str">
        <x:v>PARSED</x:v>
      </x:c>
      <x:c r="F4" s="42" t="n">
        <x:v>4</x:v>
      </x:c>
      <x:c r="G4" s="42" t="str">
        <x:v>Reporting override + natural language + noise times + overnight all in one email.</x:v>
      </x:c>
      <x:c r="H4" s="42" t="str">
        <x:v>Not Run</x:v>
      </x:c>
      <x:c r="I4" s="43" t="str"/>
    </x:row>
    <x:row r="5" ht="120" customHeight="1">
      <x:c r="A5" s="41" t="str">
        <x:v>M4</x:v>
      </x:c>
      <x:c r="B5" s="42" t="str">
        <x:v>Full OVH 22-shift stress block</x:v>
      </x:c>
      <x:c r="C5" s="42" t="str">
        <x:v>Full stress test</x:v>
      </x:c>
      <x:c r="D5" s="42" t="str">
        <x:v>9/11 (7am-330pm) 2 STNAs. (7am-1130am) 2 STNAs
9/11 (7pm-1130pm) 2 STNAs
9/12 (7pm-1130pm) 2 STNAs
9/12 (11pm-730am) 1 LPN, 2 STNAs
9/13 (3pm-1130pm) 4 STNAs. (7pm-1130pm) 2 STNAs
9/13 (11pm-730am) 6 LPNs
9/14 (7am-1130am) 1 STNA
9/14 (3pm-1130pm) 1 LPN. (7pm-1130pm) 1 LPN
9/14 (11pm-730am) 1 LPN. (3am-730am) 1 LPN-reporting 9/15 at 3am
9/15 (3am-730am) 1 LPN-reporting 9/16 at 3am
9/16 (3am-730am) 1 LPN-reporting 9/17 at 3am
9/17 (3pm-730pm) 2 STNAs
9/18 (11pm-730am) 1 STNA. (3am-730am) 1 STNA-reporting 9/19 at 3am
9/19 (3pm-1130pm) 5 STNAs. (3pm-730pm) 1 STNA
9/19 (11pm-730am) 4 STNAs</x:v>
      </x:c>
      <x:c r="E5" s="42" t="str">
        <x:v>PARSED</x:v>
      </x:c>
      <x:c r="F5" s="42" t="n">
        <x:v>22</x:v>
      </x:c>
      <x:c r="G5" s="42" t="str">
        <x:v>Full regression: multiple dates, same-line ranges, mixed roles, compact times, reporting overrides, overnight.</x:v>
      </x:c>
      <x:c r="H5" s="42" t="str">
        <x:v>Not Run</x:v>
      </x:c>
      <x:c r="I5" s="43" t="str"/>
    </x:row>
    <x:row r="6" ht="120" customHeight="1">
      <x:c r="A6" s="44" t="str">
        <x:v>M5</x:v>
      </x:c>
      <x:c r="B6" s="45" t="str">
        <x:v>Mixed raw + normalized</x:v>
      </x:c>
      <x:c r="C6" s="45" t="str">
        <x:v>Normalized / mixed format</x:v>
      </x:c>
      <x:c r="D6" s="45" t="str">
        <x:v>9/12 (11pm-730am) 1 LPN
2026-09-13 | 15:00:00 → 23:30:00 | STNA | 2</x:v>
      </x:c>
      <x:c r="E6" s="45" t="str">
        <x:v>PARSED</x:v>
      </x:c>
      <x:c r="F6" s="45" t="n">
        <x:v>2</x:v>
      </x:c>
      <x:c r="G6" s="45" t="str">
        <x:v>Previously failed on old build; final locked build must return both shifts.</x:v>
      </x:c>
      <x:c r="H6" s="45" t="str">
        <x:v>Not Run</x:v>
      </x:c>
      <x:c r="I6" s="46" t="str"/>
    </x:row>
  </x:sheetData>
  <x:conditionalFormatting sqref="H2:H6">
    <x:cfRule type="expression" dxfId="7" priority="1">
      <x:formula>H2="Pass"</x:formula>
    </x:cfRule>
    <x:cfRule type="expression" dxfId="8" priority="2">
      <x:formula>H2="Fail"</x:formula>
    </x:cfRule>
  </x:conditionalFormatting>
  <x:dataValidations count="1">
    <x:dataValidation type="list" sqref="H2:H6">
      <x:formula1>"Not Run,Pass,Fail,Blocked"</x:formula1>
    </x:dataValidation>
  </x:dataValidations>
  <x:pageMargins left="0.7" right="0.7" top="0.75" bottom="0.75" header="0.3" footer="0.3"/>
  <x:tableParts count="1">
    <x:tablePart xmlns:r="http://schemas.openxmlformats.org/officeDocument/2006/relationships" r:id="Rbe5e0252aa184b20"/>
  </x:tableParts>
</x:worksheet>
</file>

<file path=xl/worksheets/sheet4.xml><?xml version="1.0" encoding="utf-8"?>
<x:worksheet xmlns:x="http://schemas.openxmlformats.org/spreadsheetml/2006/main">
  <x:sheetFormatPr defaultRowHeight="15"/>
  <x:cols>
    <x:col min="1" max="1" width="24" hidden="0" customWidth="1"/>
    <x:col min="2" max="2" width="92" hidden="0" customWidth="1"/>
  </x:cols>
  <x:sheetData>
    <x:row r="1" ht="30" customHeight="1">
      <x:c r="A1" s="86" t="str">
        <x:v>Ohio Veterans Email Parser — Manual Validation Guide</x:v>
      </x:c>
      <x:c r="B1" s="86" t="str"/>
    </x:row>
    <x:row r="2" ht="52" customHeight="1">
      <x:c r="A2" s="99" t="str">
        <x:v>Purpose</x:v>
      </x:c>
      <x:c r="B2" s="42" t="str">
        <x:v>Use this workbook to manually re-run the exact 52 automated pytest cases against the parser UI whenever you want. Copy the Sample Input cell, paste it into the UI, use the listed Default Year, and compare the result.</x:v>
      </x:c>
    </x:row>
    <x:row r="3" ht="52" customHeight="1">
      <x:c r="A3" s="99" t="str">
        <x:v>Parser role scope</x:v>
      </x:c>
      <x:c r="B3" s="42" t="str">
        <x:v>Only LPN and STNA are in scope. CNA/other roles are not mapped to LPN/STNA. TC-46 is only a guard test confirming no supported role is invented.</x:v>
      </x:c>
    </x:row>
    <x:row r="4" ht="52" customHeight="1">
      <x:c r="A4" s="99" t="str">
        <x:v>PARSED</x:v>
      </x:c>
      <x:c r="B4" s="42" t="str">
        <x:v>Valid in-scope content parsed successfully. Compare shift_count and extracted shift rows.</x:v>
      </x:c>
    </x:row>
    <x:row r="5" ht="52" customHeight="1">
      <x:c r="A5" s="99" t="str">
        <x:v>NEEDS_REVIEW</x:v>
      </x:c>
      <x:c r="B5" s="42" t="str">
        <x:v>In-scope staffing requirement is incomplete/ambiguous. Parser must not invent missing fields. Valid shifts may still be retained.</x:v>
      </x:c>
    </x:row>
    <x:row r="6" ht="52" customHeight="1">
      <x:c r="A6" s="99" t="str">
        <x:v>MUST REVIEW cases</x:v>
      </x:c>
      <x:c r="B6" s="42" t="str">
        <x:v>TC-23, TC-44 and TC-45 are the explicit automated review cases.</x:v>
      </x:c>
    </x:row>
    <x:row r="7" ht="52" customHeight="1">
      <x:c r="A7" s="99" t="str">
        <x:v>Overnight rule</x:v>
      </x:c>
      <x:c r="B7" s="42" t="str">
        <x:v>If end_time is earlier than start_time, the shift logically ends the next calendar day. The backend schema still stores shift_date + start_time + end_time.</x:v>
      </x:c>
    </x:row>
    <x:row r="8" ht="52" customHeight="1">
      <x:c r="A8" s="99" t="str">
        <x:v>Reporting rule</x:v>
      </x:c>
      <x:c r="B8" s="42" t="str">
        <x:v>Explicit reporting date/time overrides inherited/display date context.</x:v>
      </x:c>
    </x:row>
    <x:row r="9" ht="52" customHeight="1">
      <x:c r="A9" s="99" t="str">
        <x:v>Source preservation</x:v>
      </x:c>
      <x:c r="B9" s="42" t="str">
        <x:v>For source-content tests, line breaks and original content must remain unchanged in source_content.</x:v>
      </x:c>
    </x:row>
    <x:row r="10" ht="52" customHeight="1">
      <x:c r="A10" s="99" t="str">
        <x:v>Backend contract</x:v>
      </x:c>
      <x:c r="B10" s="42" t="str">
        <x:v>Top-level output: subject, source_content, status, shift_count, shifts, issues. Shift output: shift_date, start_time, end_time, skill, required_count, status, source_text.</x:v>
      </x:c>
    </x:row>
    <x:row r="11" ht="52" customHeight="1">
      <x:c r="A11" s="99" t="str">
        <x:v>How to record</x:v>
      </x:c>
      <x:c r="B11" s="42" t="str">
        <x:v>Set Manual Result to Pass / Fail / Blocked. Optionally fill Actual Status, Actual Shift Count, and Actual Issues / Notes.</x:v>
      </x:c>
    </x:row>
    <x:row r="12" ht="52" customHeight="1">
      <x:c r="A12" s="99" t="str">
        <x:v>Extra scenarios</x:v>
      </x:c>
      <x:c r="B12" s="42" t="str">
        <x:v>The Key Manual Regression sheet contains 5 high-value manual stress samples used during our browser validation. They are additional and are not counted in the 52 automated tests.</x:v>
      </x:c>
    </x:row>
  </x:sheetData>
  <x:mergeCells>
    <x:mergeCell ref="A1:B1"/>
  </x:mergeCells>
  <x:pageMargins left="0.7" right="0.7" top="0.75" bottom="0.75" header="0.3" footer="0.3"/>
</x:worksheet>
</file>